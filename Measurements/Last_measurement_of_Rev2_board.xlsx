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lhan\Documents\uz_per_external_current_sensing\Measurements\"/>
    </mc:Choice>
  </mc:AlternateContent>
  <xr:revisionPtr revIDLastSave="0" documentId="13_ncr:1_{E2F8A743-6778-4F37-9198-330C9EAECBA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therm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F23" i="1" s="1"/>
  <c r="G23" i="1" s="1"/>
  <c r="D22" i="1"/>
  <c r="F22" i="1" s="1"/>
  <c r="G22" i="1" s="1"/>
  <c r="D21" i="1"/>
  <c r="F21" i="1" s="1"/>
  <c r="G21" i="1" s="1"/>
  <c r="D20" i="1"/>
  <c r="D19" i="1"/>
  <c r="F19" i="1" s="1"/>
  <c r="G19" i="1" s="1"/>
  <c r="D18" i="1"/>
  <c r="F18" i="1" s="1"/>
  <c r="D17" i="1"/>
  <c r="F17" i="1" s="1"/>
  <c r="G17" i="1" s="1"/>
  <c r="D16" i="1"/>
  <c r="F16" i="1" s="1"/>
  <c r="G16" i="1" s="1"/>
  <c r="D15" i="1"/>
  <c r="F15" i="1" s="1"/>
  <c r="G15" i="1" s="1"/>
  <c r="D14" i="1"/>
  <c r="F14" i="1" s="1"/>
  <c r="G14" i="1" s="1"/>
  <c r="F20" i="1"/>
  <c r="G20" i="1" s="1"/>
  <c r="D13" i="1"/>
  <c r="F13" i="1" s="1"/>
  <c r="G13" i="1" s="1"/>
  <c r="F31" i="1"/>
  <c r="G31" i="1" s="1"/>
  <c r="F30" i="1"/>
  <c r="G30" i="1" s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</calcChain>
</file>

<file path=xl/sharedStrings.xml><?xml version="1.0" encoding="utf-8"?>
<sst xmlns="http://schemas.openxmlformats.org/spreadsheetml/2006/main" count="24" uniqueCount="9">
  <si>
    <t>I_IN (A)</t>
  </si>
  <si>
    <t>Vout_soll (V)</t>
  </si>
  <si>
    <t>Deviation (V)</t>
  </si>
  <si>
    <t>Deviation (%)</t>
  </si>
  <si>
    <t>nA</t>
  </si>
  <si>
    <t>sensitivity = 104.2 mV/A</t>
  </si>
  <si>
    <t>Input Current (A)</t>
  </si>
  <si>
    <t>Temperature(°C)</t>
  </si>
  <si>
    <t>Vout_meas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</si>
</sst>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rgb="FF59595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164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2000" b="1"/>
              <a:t>Error (%) vs Current (A)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4.364776195981053E-2"/>
          <c:y val="9.1955293989646164E-2"/>
          <c:w val="0.92843394090715936"/>
          <c:h val="0.8180946766452507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Sheet1!$C$13:$C$23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Sheet1!$G$13:$G$23</c:f>
              <c:numCache>
                <c:formatCode>General</c:formatCode>
                <c:ptCount val="11"/>
                <c:pt idx="0">
                  <c:v>0.51343570057581245</c:v>
                </c:pt>
                <c:pt idx="1">
                  <c:v>0.55182341650672362</c:v>
                </c:pt>
                <c:pt idx="2">
                  <c:v>0.59181062060139566</c:v>
                </c:pt>
                <c:pt idx="3">
                  <c:v>0.75575815738963203</c:v>
                </c:pt>
                <c:pt idx="4">
                  <c:v>1.271593090211139</c:v>
                </c:pt>
                <c:pt idx="6">
                  <c:v>3.9827255278310818E-2</c:v>
                </c:pt>
                <c:pt idx="7">
                  <c:v>0.14395393474088039</c:v>
                </c:pt>
                <c:pt idx="8">
                  <c:v>0.15035188739602384</c:v>
                </c:pt>
                <c:pt idx="9">
                  <c:v>0.20333493282149737</c:v>
                </c:pt>
                <c:pt idx="10">
                  <c:v>0.23992322456813306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92-4372-ABF1-28D3AAC63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4250239"/>
        <c:axId val="774255039"/>
      </c:scatterChart>
      <c:valAx>
        <c:axId val="774250239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2000" b="1"/>
                  <a:t>Current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4255039"/>
        <c:crosses val="autoZero"/>
        <c:crossBetween val="midCat"/>
      </c:valAx>
      <c:valAx>
        <c:axId val="77425503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2000" b="1"/>
                  <a:t>Error</a:t>
                </a:r>
                <a:r>
                  <a:rPr lang="de-DE" sz="2000" b="1" baseline="0"/>
                  <a:t> (%)</a:t>
                </a:r>
                <a:endParaRPr lang="de-DE" sz="20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74250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4910352787815668"/>
          <c:y val="9.7111862087153084E-2"/>
          <c:w val="0.12410339577542352"/>
          <c:h val="6.53712160630944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accent1"/>
                </a:solidFill>
              </a:rPr>
              <a:t>Input</a:t>
            </a:r>
            <a:r>
              <a:rPr lang="en-US" sz="1800" b="1" baseline="0">
                <a:solidFill>
                  <a:schemeClr val="accent1"/>
                </a:solidFill>
              </a:rPr>
              <a:t> Current (A) vs V_out (V)</a:t>
            </a:r>
            <a:endParaRPr lang="en-US" sz="1800" b="1">
              <a:solidFill>
                <a:schemeClr val="accent1"/>
              </a:solidFill>
            </a:endParaRPr>
          </a:p>
        </c:rich>
      </c:tx>
      <c:overlay val="0"/>
      <c:spPr>
        <a:noFill/>
        <a:ln>
          <a:solidFill>
            <a:schemeClr val="bg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>
                  <a:alpha val="9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4127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599975811153895E-3"/>
                  <c:y val="0.715321922931981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Sheet1!$C$13:$C$23</c:f>
              <c:numCache>
                <c:formatCode>General</c:formatCode>
                <c:ptCount val="11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Sheet1!$E$13:$E$23</c:f>
              <c:numCache>
                <c:formatCode>0.0000</c:formatCode>
                <c:ptCount val="11"/>
                <c:pt idx="0">
                  <c:v>-2.0733000000000001</c:v>
                </c:pt>
                <c:pt idx="1">
                  <c:v>-1.6579999999999999</c:v>
                </c:pt>
                <c:pt idx="2">
                  <c:v>-1.2430000000000001</c:v>
                </c:pt>
                <c:pt idx="3">
                  <c:v>-0.82730000000000004</c:v>
                </c:pt>
                <c:pt idx="4">
                  <c:v>-0.41149999999999998</c:v>
                </c:pt>
                <c:pt idx="5">
                  <c:v>1E-4</c:v>
                </c:pt>
                <c:pt idx="6">
                  <c:v>0.416634</c:v>
                </c:pt>
                <c:pt idx="7">
                  <c:v>0.83240000000000003</c:v>
                </c:pt>
                <c:pt idx="8">
                  <c:v>1.2485200000000001</c:v>
                </c:pt>
                <c:pt idx="9">
                  <c:v>1.66381</c:v>
                </c:pt>
                <c:pt idx="10">
                  <c:v>2.0790000000000002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9C7-4E26-A94C-760181161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56319"/>
        <c:axId val="161154399"/>
      </c:scatterChart>
      <c:valAx>
        <c:axId val="161156319"/>
        <c:scaling>
          <c:orientation val="minMax"/>
          <c:max val="1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61154399"/>
        <c:crossesAt val="0"/>
        <c:crossBetween val="midCat"/>
      </c:valAx>
      <c:valAx>
        <c:axId val="161154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61156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587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Input</a:t>
            </a:r>
            <a:r>
              <a:rPr lang="en-US" sz="2000" b="1" baseline="0"/>
              <a:t> Current (A) vs Temperature (</a:t>
            </a:r>
            <a:r>
              <a:rPr lang="en-US" sz="2000" b="1" i="0" u="none" strike="noStrike" baseline="0">
                <a:effectLst/>
              </a:rPr>
              <a:t>°C</a:t>
            </a:r>
            <a:r>
              <a:rPr lang="en-US" sz="2000" b="1" baseline="0"/>
              <a:t>)</a:t>
            </a:r>
            <a:endParaRPr lang="en-US" sz="2000" b="1"/>
          </a:p>
        </c:rich>
      </c:tx>
      <c:layout>
        <c:manualLayout>
          <c:xMode val="edge"/>
          <c:yMode val="edge"/>
          <c:x val="0.18397685437835123"/>
          <c:y val="2.04342300706589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53975">
                <a:solidFill>
                  <a:schemeClr val="accent1"/>
                </a:solidFill>
              </a:ln>
              <a:effectLst/>
            </c:spPr>
          </c:marker>
          <c:xVal>
            <c:numRef>
              <c:f>thermal!$B$2:$B$5</c:f>
              <c:numCache>
                <c:formatCode>General</c:formatCode>
                <c:ptCount val="4"/>
                <c:pt idx="0">
                  <c:v>40</c:v>
                </c:pt>
                <c:pt idx="1">
                  <c:v>60</c:v>
                </c:pt>
                <c:pt idx="2">
                  <c:v>70</c:v>
                </c:pt>
                <c:pt idx="3">
                  <c:v>80</c:v>
                </c:pt>
              </c:numCache>
            </c:numRef>
          </c:xVal>
          <c:yVal>
            <c:numRef>
              <c:f>thermal!$A$2:$A$5</c:f>
              <c:numCache>
                <c:formatCode>General</c:formatCode>
                <c:ptCount val="4"/>
                <c:pt idx="0">
                  <c:v>38</c:v>
                </c:pt>
                <c:pt idx="1">
                  <c:v>55</c:v>
                </c:pt>
                <c:pt idx="2">
                  <c:v>76</c:v>
                </c:pt>
                <c:pt idx="3">
                  <c:v>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39-429E-AF25-73FE00092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794335"/>
        <c:axId val="1325801535"/>
      </c:scatterChart>
      <c:valAx>
        <c:axId val="1325794335"/>
        <c:scaling>
          <c:orientation val="minMax"/>
          <c:min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Input Current (A)</a:t>
                </a:r>
              </a:p>
            </c:rich>
          </c:tx>
          <c:layout>
            <c:manualLayout>
              <c:xMode val="edge"/>
              <c:yMode val="edge"/>
              <c:x val="0.3733920636158104"/>
              <c:y val="0.881123357124290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25801535"/>
        <c:crosses val="autoZero"/>
        <c:crossBetween val="midCat"/>
      </c:valAx>
      <c:valAx>
        <c:axId val="1325801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1"/>
                  <a:t>Temperature(°C)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325794335"/>
        <c:crossesAt val="30"/>
        <c:crossBetween val="midCat"/>
      </c:valAx>
      <c:spPr>
        <a:noFill/>
        <a:ln w="9525" cmpd="thinThick">
          <a:solidFill>
            <a:schemeClr val="accent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768758</xdr:colOff>
      <xdr:row>37</xdr:row>
      <xdr:rowOff>83225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25B4EA7D-FB9A-4210-BA7A-2E4A0E59D3C9}"/>
            </a:ext>
          </a:extLst>
        </xdr:cNvPr>
        <xdr:cNvSpPr txBox="1"/>
      </xdr:nvSpPr>
      <xdr:spPr>
        <a:xfrm>
          <a:off x="10271607" y="6844868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600" b="1"/>
        </a:p>
      </xdr:txBody>
    </xdr:sp>
    <xdr:clientData/>
  </xdr:oneCellAnchor>
  <xdr:twoCellAnchor>
    <xdr:from>
      <xdr:col>7</xdr:col>
      <xdr:colOff>670106</xdr:colOff>
      <xdr:row>4</xdr:row>
      <xdr:rowOff>42208</xdr:rowOff>
    </xdr:from>
    <xdr:to>
      <xdr:col>15</xdr:col>
      <xdr:colOff>830167</xdr:colOff>
      <xdr:row>31</xdr:row>
      <xdr:rowOff>4295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74334DE-B46C-8BFE-1287-C37FE20E7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947460</xdr:colOff>
      <xdr:row>60</xdr:row>
      <xdr:rowOff>127383</xdr:rowOff>
    </xdr:from>
    <xdr:to>
      <xdr:col>8</xdr:col>
      <xdr:colOff>155349</xdr:colOff>
      <xdr:row>61</xdr:row>
      <xdr:rowOff>152369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58347EED-1952-4590-B572-E47876BA6B02}"/>
            </a:ext>
          </a:extLst>
        </xdr:cNvPr>
        <xdr:cNvSpPr/>
      </xdr:nvSpPr>
      <xdr:spPr>
        <a:xfrm>
          <a:off x="6653516" y="11396397"/>
          <a:ext cx="218523" cy="212803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951732</xdr:colOff>
      <xdr:row>66</xdr:row>
      <xdr:rowOff>73466</xdr:rowOff>
    </xdr:from>
    <xdr:to>
      <xdr:col>8</xdr:col>
      <xdr:colOff>159621</xdr:colOff>
      <xdr:row>67</xdr:row>
      <xdr:rowOff>98453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722A394C-1579-42CD-A948-D6169A2A4E70}"/>
            </a:ext>
          </a:extLst>
        </xdr:cNvPr>
        <xdr:cNvSpPr/>
      </xdr:nvSpPr>
      <xdr:spPr>
        <a:xfrm>
          <a:off x="6657788" y="12469381"/>
          <a:ext cx="218523" cy="212804"/>
        </a:xfrm>
        <a:prstGeom prst="ellipse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DE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219525</xdr:colOff>
      <xdr:row>61</xdr:row>
      <xdr:rowOff>127109</xdr:rowOff>
    </xdr:from>
    <xdr:to>
      <xdr:col>9</xdr:col>
      <xdr:colOff>75209</xdr:colOff>
      <xdr:row>64</xdr:row>
      <xdr:rowOff>50139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ABF6003C-9E8C-D622-4D09-E1F76E31CD1E}"/>
            </a:ext>
          </a:extLst>
        </xdr:cNvPr>
        <xdr:cNvCxnSpPr/>
      </xdr:nvCxnSpPr>
      <xdr:spPr>
        <a:xfrm>
          <a:off x="6936215" y="11583940"/>
          <a:ext cx="669557" cy="486481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277254</xdr:colOff>
      <xdr:row>65</xdr:row>
      <xdr:rowOff>146350</xdr:rowOff>
    </xdr:from>
    <xdr:to>
      <xdr:col>9</xdr:col>
      <xdr:colOff>46345</xdr:colOff>
      <xdr:row>66</xdr:row>
      <xdr:rowOff>125212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C0DA4316-D773-F1CA-789B-AFC1484E3075}"/>
            </a:ext>
          </a:extLst>
        </xdr:cNvPr>
        <xdr:cNvCxnSpPr/>
      </xdr:nvCxnSpPr>
      <xdr:spPr>
        <a:xfrm flipV="1">
          <a:off x="6993944" y="12354449"/>
          <a:ext cx="582964" cy="166678"/>
        </a:xfrm>
        <a:prstGeom prst="straightConnector1">
          <a:avLst/>
        </a:prstGeom>
        <a:ln w="5715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9</xdr:col>
      <xdr:colOff>3423</xdr:colOff>
      <xdr:row>64</xdr:row>
      <xdr:rowOff>3600</xdr:rowOff>
    </xdr:from>
    <xdr:ext cx="1473737" cy="34278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B982765B-1CD9-44DC-8650-D5F5C42C5789}"/>
            </a:ext>
          </a:extLst>
        </xdr:cNvPr>
        <xdr:cNvSpPr txBox="1"/>
      </xdr:nvSpPr>
      <xdr:spPr>
        <a:xfrm>
          <a:off x="7533986" y="12023882"/>
          <a:ext cx="147373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de-DE" sz="1600" b="1" baseline="0"/>
            <a:t>Voltage Probes</a:t>
          </a:r>
        </a:p>
      </xdr:txBody>
    </xdr:sp>
    <xdr:clientData/>
  </xdr:oneCellAnchor>
  <xdr:twoCellAnchor editAs="oneCell">
    <xdr:from>
      <xdr:col>1</xdr:col>
      <xdr:colOff>185292</xdr:colOff>
      <xdr:row>38</xdr:row>
      <xdr:rowOff>0</xdr:rowOff>
    </xdr:from>
    <xdr:to>
      <xdr:col>11</xdr:col>
      <xdr:colOff>1101307</xdr:colOff>
      <xdr:row>102</xdr:row>
      <xdr:rowOff>136946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65BBE12-35C6-FB20-5F59-41E810F14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4290" y="6944390"/>
          <a:ext cx="9759866" cy="11832758"/>
        </a:xfrm>
        <a:prstGeom prst="rect">
          <a:avLst/>
        </a:prstGeom>
      </xdr:spPr>
    </xdr:pic>
    <xdr:clientData/>
  </xdr:twoCellAnchor>
  <xdr:twoCellAnchor>
    <xdr:from>
      <xdr:col>12</xdr:col>
      <xdr:colOff>723900</xdr:colOff>
      <xdr:row>35</xdr:row>
      <xdr:rowOff>131987</xdr:rowOff>
    </xdr:from>
    <xdr:to>
      <xdr:col>19</xdr:col>
      <xdr:colOff>425223</xdr:colOff>
      <xdr:row>60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953290-E992-D20D-6AFE-FBC748ABBB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3</xdr:row>
      <xdr:rowOff>90488</xdr:rowOff>
    </xdr:from>
    <xdr:to>
      <xdr:col>13</xdr:col>
      <xdr:colOff>219075</xdr:colOff>
      <xdr:row>24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341FF5-DB2E-61A1-0142-F03F6231F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34"/>
  <sheetViews>
    <sheetView tabSelected="1" topLeftCell="J34" zoomScaleNormal="100" workbookViewId="0">
      <selection activeCell="L35" sqref="L35"/>
    </sheetView>
  </sheetViews>
  <sheetFormatPr defaultRowHeight="14.25" x14ac:dyDescent="0.45"/>
  <cols>
    <col min="1" max="1" width="9.19921875" customWidth="1"/>
    <col min="2" max="2" width="6.796875" customWidth="1"/>
    <col min="3" max="3" width="10" style="1" bestFit="1" customWidth="1"/>
    <col min="4" max="4" width="15" style="2" bestFit="1" customWidth="1"/>
    <col min="5" max="5" width="12.796875" style="2" customWidth="1"/>
    <col min="6" max="6" width="14" style="2" bestFit="1" customWidth="1"/>
    <col min="7" max="7" width="14" style="2" customWidth="1"/>
    <col min="8" max="8" width="14.46484375" style="1" bestFit="1" customWidth="1"/>
    <col min="9" max="9" width="11.59765625" style="1" bestFit="1" customWidth="1"/>
    <col min="10" max="10" width="11.59765625" style="1" customWidth="1"/>
    <col min="11" max="11" width="13.33203125" style="2" bestFit="1" customWidth="1"/>
    <col min="12" max="12" width="17.265625" style="1" customWidth="1"/>
    <col min="13" max="13" width="17.53125" style="1" bestFit="1" customWidth="1"/>
    <col min="14" max="14" width="18.53125" style="1" bestFit="1" customWidth="1"/>
    <col min="15" max="15" width="15.265625" style="1" bestFit="1" customWidth="1"/>
    <col min="16" max="16" width="14.46484375" style="1" bestFit="1" customWidth="1"/>
    <col min="17" max="17" width="11.796875" style="1" bestFit="1" customWidth="1"/>
    <col min="18" max="18" width="15.53125" style="1" bestFit="1" customWidth="1"/>
    <col min="19" max="19" width="8.73046875" style="1"/>
  </cols>
  <sheetData>
    <row r="2" spans="3:18" x14ac:dyDescent="0.45">
      <c r="R2" s="3"/>
    </row>
    <row r="4" spans="3:18" x14ac:dyDescent="0.45">
      <c r="C4" s="6" t="s">
        <v>0</v>
      </c>
      <c r="D4" s="6" t="s">
        <v>1</v>
      </c>
      <c r="E4" s="7" t="s">
        <v>8</v>
      </c>
      <c r="F4" s="6" t="s">
        <v>2</v>
      </c>
      <c r="G4" s="6" t="s">
        <v>3</v>
      </c>
      <c r="H4" s="10"/>
    </row>
    <row r="5" spans="3:18" x14ac:dyDescent="0.45">
      <c r="C5" s="8">
        <v>-50</v>
      </c>
      <c r="D5" s="8">
        <v>-2.5</v>
      </c>
      <c r="E5" s="9" t="s">
        <v>4</v>
      </c>
      <c r="F5" s="9" t="e">
        <f>D5-E5</f>
        <v>#VALUE!</v>
      </c>
      <c r="G5" s="8" t="e">
        <f>(F5/D5)*100</f>
        <v>#VALUE!</v>
      </c>
      <c r="H5" s="11"/>
      <c r="I5" s="3"/>
      <c r="J5" s="3"/>
      <c r="K5" s="4"/>
      <c r="L5" s="3"/>
      <c r="M5" s="3"/>
      <c r="N5" s="3"/>
      <c r="O5" s="3"/>
      <c r="P5" s="3"/>
      <c r="Q5" s="3"/>
    </row>
    <row r="6" spans="3:18" x14ac:dyDescent="0.45">
      <c r="C6" s="8">
        <v>-45</v>
      </c>
      <c r="D6" s="8">
        <v>-2.25</v>
      </c>
      <c r="E6" s="9" t="s">
        <v>4</v>
      </c>
      <c r="F6" s="9" t="e">
        <f t="shared" ref="F6:F31" si="0">D6-E6</f>
        <v>#VALUE!</v>
      </c>
      <c r="G6" s="8" t="e">
        <f>(F6/D6)*100</f>
        <v>#VALUE!</v>
      </c>
      <c r="H6" s="11"/>
      <c r="L6" s="2"/>
      <c r="N6" s="2"/>
      <c r="O6" s="2"/>
      <c r="P6" s="2"/>
    </row>
    <row r="7" spans="3:18" x14ac:dyDescent="0.45">
      <c r="C7" s="8">
        <v>-40</v>
      </c>
      <c r="D7" s="8">
        <v>-2</v>
      </c>
      <c r="E7" s="9" t="s">
        <v>4</v>
      </c>
      <c r="F7" s="9" t="e">
        <f t="shared" si="0"/>
        <v>#VALUE!</v>
      </c>
      <c r="G7" s="8" t="e">
        <f>(F7/D7)*100</f>
        <v>#VALUE!</v>
      </c>
      <c r="H7" s="11"/>
      <c r="L7" s="2"/>
      <c r="N7" s="2"/>
      <c r="O7" s="2"/>
      <c r="P7" s="2"/>
    </row>
    <row r="8" spans="3:18" x14ac:dyDescent="0.45">
      <c r="C8" s="8">
        <v>-35</v>
      </c>
      <c r="D8" s="8">
        <v>-1.75</v>
      </c>
      <c r="E8" s="9" t="s">
        <v>4</v>
      </c>
      <c r="F8" s="9" t="e">
        <f t="shared" si="0"/>
        <v>#VALUE!</v>
      </c>
      <c r="G8" s="8" t="e">
        <f>(F8/D8)*100</f>
        <v>#VALUE!</v>
      </c>
      <c r="H8" s="11"/>
      <c r="L8" s="2"/>
      <c r="N8" s="2"/>
      <c r="O8" s="2"/>
      <c r="P8" s="2"/>
    </row>
    <row r="9" spans="3:18" x14ac:dyDescent="0.45">
      <c r="C9" s="8">
        <v>-30</v>
      </c>
      <c r="D9" s="8">
        <v>-1.5</v>
      </c>
      <c r="E9" s="9" t="s">
        <v>4</v>
      </c>
      <c r="F9" s="9" t="e">
        <f t="shared" si="0"/>
        <v>#VALUE!</v>
      </c>
      <c r="G9" s="8" t="e">
        <f>(F9/D9)*100</f>
        <v>#VALUE!</v>
      </c>
      <c r="H9" s="11"/>
      <c r="L9" s="2"/>
      <c r="N9" s="2"/>
      <c r="O9" s="2"/>
      <c r="P9" s="2"/>
    </row>
    <row r="10" spans="3:18" x14ac:dyDescent="0.45">
      <c r="C10" s="8">
        <v>-25</v>
      </c>
      <c r="D10" s="8">
        <v>-1.25</v>
      </c>
      <c r="E10" s="9" t="s">
        <v>4</v>
      </c>
      <c r="F10" s="9" t="e">
        <f t="shared" si="0"/>
        <v>#VALUE!</v>
      </c>
      <c r="G10" s="8" t="e">
        <f>(F10/D10)*100</f>
        <v>#VALUE!</v>
      </c>
      <c r="H10" s="11"/>
      <c r="L10" s="2"/>
      <c r="N10" s="2"/>
      <c r="O10" s="2"/>
      <c r="P10" s="2"/>
    </row>
    <row r="11" spans="3:18" x14ac:dyDescent="0.45">
      <c r="C11" s="8">
        <v>-20</v>
      </c>
      <c r="D11" s="8">
        <v>-1</v>
      </c>
      <c r="E11" s="9" t="s">
        <v>4</v>
      </c>
      <c r="F11" s="9" t="e">
        <f t="shared" si="0"/>
        <v>#VALUE!</v>
      </c>
      <c r="G11" s="8" t="e">
        <f>(F11/D11)*100</f>
        <v>#VALUE!</v>
      </c>
      <c r="H11" s="11"/>
      <c r="L11" s="2"/>
      <c r="N11" s="2"/>
      <c r="O11" s="2"/>
      <c r="P11" s="2"/>
    </row>
    <row r="12" spans="3:18" x14ac:dyDescent="0.45">
      <c r="C12" s="8">
        <v>-15</v>
      </c>
      <c r="D12" s="8">
        <v>-0.75</v>
      </c>
      <c r="E12" s="9" t="s">
        <v>4</v>
      </c>
      <c r="F12" s="9" t="e">
        <f t="shared" si="0"/>
        <v>#VALUE!</v>
      </c>
      <c r="G12" s="8" t="e">
        <f>(F12/D12)*100</f>
        <v>#VALUE!</v>
      </c>
      <c r="H12" s="11"/>
      <c r="L12" s="2"/>
      <c r="N12" s="2"/>
      <c r="O12" s="2"/>
      <c r="P12" s="2"/>
    </row>
    <row r="13" spans="3:18" x14ac:dyDescent="0.45">
      <c r="C13" s="6">
        <v>-10</v>
      </c>
      <c r="D13" s="6">
        <f>2*E34*C13</f>
        <v>-2.0840000000000001</v>
      </c>
      <c r="E13" s="7">
        <v>-2.0733000000000001</v>
      </c>
      <c r="F13" s="7">
        <f t="shared" si="0"/>
        <v>-1.0699999999999932E-2</v>
      </c>
      <c r="G13" s="6">
        <f>(F13/D13)*100</f>
        <v>0.51343570057581245</v>
      </c>
      <c r="H13" s="11"/>
      <c r="L13" s="2"/>
      <c r="N13" s="2"/>
      <c r="O13" s="2"/>
      <c r="P13" s="2"/>
    </row>
    <row r="14" spans="3:18" x14ac:dyDescent="0.45">
      <c r="C14" s="6">
        <v>-8</v>
      </c>
      <c r="D14" s="6">
        <f>2*E34*C14</f>
        <v>-1.6672</v>
      </c>
      <c r="E14" s="7">
        <v>-1.6579999999999999</v>
      </c>
      <c r="F14" s="7">
        <f t="shared" si="0"/>
        <v>-9.200000000000097E-3</v>
      </c>
      <c r="G14" s="6">
        <f>(F14/D14)*100</f>
        <v>0.55182341650672362</v>
      </c>
      <c r="H14" s="11"/>
      <c r="L14" s="2"/>
      <c r="N14" s="2"/>
      <c r="O14" s="2"/>
      <c r="P14" s="2"/>
    </row>
    <row r="15" spans="3:18" x14ac:dyDescent="0.45">
      <c r="C15" s="6">
        <v>-6</v>
      </c>
      <c r="D15" s="6">
        <f>2*E34*C15</f>
        <v>-1.2504</v>
      </c>
      <c r="E15" s="7">
        <v>-1.2430000000000001</v>
      </c>
      <c r="F15" s="7">
        <f t="shared" si="0"/>
        <v>-7.3999999999998511E-3</v>
      </c>
      <c r="G15" s="6">
        <f>(F15/D15)*100</f>
        <v>0.59181062060139566</v>
      </c>
      <c r="H15" s="11"/>
      <c r="L15" s="2"/>
      <c r="N15" s="2"/>
      <c r="O15" s="2"/>
      <c r="P15" s="2"/>
    </row>
    <row r="16" spans="3:18" x14ac:dyDescent="0.45">
      <c r="C16" s="6">
        <v>-4</v>
      </c>
      <c r="D16" s="6">
        <f>2*E34*C16</f>
        <v>-0.83360000000000001</v>
      </c>
      <c r="E16" s="7">
        <v>-0.82730000000000004</v>
      </c>
      <c r="F16" s="7">
        <f t="shared" si="0"/>
        <v>-6.2999999999999723E-3</v>
      </c>
      <c r="G16" s="6">
        <f>(F16/D16)*100</f>
        <v>0.75575815738963203</v>
      </c>
      <c r="H16" s="11"/>
      <c r="L16" s="2"/>
      <c r="N16" s="2"/>
      <c r="O16" s="2"/>
      <c r="P16" s="2"/>
    </row>
    <row r="17" spans="3:16" x14ac:dyDescent="0.45">
      <c r="C17" s="6">
        <v>-2</v>
      </c>
      <c r="D17" s="6">
        <f>2*E34*C17</f>
        <v>-0.4168</v>
      </c>
      <c r="E17" s="7">
        <v>-0.41149999999999998</v>
      </c>
      <c r="F17" s="7">
        <f t="shared" si="0"/>
        <v>-5.3000000000000269E-3</v>
      </c>
      <c r="G17" s="6">
        <f>(F17/D17)*100</f>
        <v>1.271593090211139</v>
      </c>
      <c r="H17" s="11"/>
      <c r="L17" s="2"/>
      <c r="N17" s="2"/>
      <c r="O17" s="2"/>
      <c r="P17" s="2"/>
    </row>
    <row r="18" spans="3:16" x14ac:dyDescent="0.45">
      <c r="C18" s="6">
        <v>0</v>
      </c>
      <c r="D18" s="6">
        <f>2*E34*C18</f>
        <v>0</v>
      </c>
      <c r="E18" s="7">
        <v>1E-4</v>
      </c>
      <c r="F18" s="7">
        <f t="shared" si="0"/>
        <v>-1E-4</v>
      </c>
      <c r="G18" s="6"/>
      <c r="H18" s="11"/>
      <c r="L18" s="2"/>
      <c r="N18" s="2"/>
      <c r="O18" s="2"/>
      <c r="P18" s="2"/>
    </row>
    <row r="19" spans="3:16" x14ac:dyDescent="0.45">
      <c r="C19" s="6">
        <v>2</v>
      </c>
      <c r="D19" s="6">
        <f>2*E34*C19</f>
        <v>0.4168</v>
      </c>
      <c r="E19" s="7">
        <v>0.416634</v>
      </c>
      <c r="F19" s="7">
        <f t="shared" si="0"/>
        <v>1.6599999999999948E-4</v>
      </c>
      <c r="G19" s="6">
        <f>(F19/D19)*100</f>
        <v>3.9827255278310818E-2</v>
      </c>
      <c r="H19" s="11"/>
      <c r="L19" s="2"/>
      <c r="N19" s="2"/>
      <c r="O19" s="2"/>
      <c r="P19" s="2"/>
    </row>
    <row r="20" spans="3:16" x14ac:dyDescent="0.45">
      <c r="C20" s="6">
        <v>4</v>
      </c>
      <c r="D20" s="6">
        <f>2*E34*C20</f>
        <v>0.83360000000000001</v>
      </c>
      <c r="E20" s="7">
        <v>0.83240000000000003</v>
      </c>
      <c r="F20" s="7">
        <f t="shared" si="0"/>
        <v>1.1999999999999789E-3</v>
      </c>
      <c r="G20" s="6">
        <f>(F20/D20)*100</f>
        <v>0.14395393474088039</v>
      </c>
      <c r="H20" s="11"/>
      <c r="L20" s="2"/>
      <c r="N20" s="2"/>
      <c r="O20" s="2"/>
      <c r="P20" s="2"/>
    </row>
    <row r="21" spans="3:16" x14ac:dyDescent="0.45">
      <c r="C21" s="6">
        <v>6</v>
      </c>
      <c r="D21" s="6">
        <f>2*E34*C21</f>
        <v>1.2504</v>
      </c>
      <c r="E21" s="7">
        <v>1.2485200000000001</v>
      </c>
      <c r="F21" s="7">
        <f t="shared" si="0"/>
        <v>1.8799999999998818E-3</v>
      </c>
      <c r="G21" s="6">
        <f>(F21/D21)*100</f>
        <v>0.15035188739602384</v>
      </c>
      <c r="H21" s="11"/>
      <c r="L21" s="2"/>
      <c r="N21" s="2"/>
      <c r="O21" s="2"/>
      <c r="P21" s="2"/>
    </row>
    <row r="22" spans="3:16" x14ac:dyDescent="0.45">
      <c r="C22" s="6">
        <v>8</v>
      </c>
      <c r="D22" s="6">
        <f>2*E34*C22</f>
        <v>1.6672</v>
      </c>
      <c r="E22" s="7">
        <v>1.66381</v>
      </c>
      <c r="F22" s="7">
        <f t="shared" si="0"/>
        <v>3.3900000000000041E-3</v>
      </c>
      <c r="G22" s="6">
        <f>(F22/D22)*100</f>
        <v>0.20333493282149737</v>
      </c>
      <c r="H22" s="11"/>
      <c r="L22" s="2"/>
      <c r="N22" s="2"/>
      <c r="O22" s="2"/>
      <c r="P22" s="2"/>
    </row>
    <row r="23" spans="3:16" x14ac:dyDescent="0.45">
      <c r="C23" s="6">
        <v>10</v>
      </c>
      <c r="D23" s="6">
        <f>2*E34*C23</f>
        <v>2.0840000000000001</v>
      </c>
      <c r="E23" s="7">
        <v>2.0790000000000002</v>
      </c>
      <c r="F23" s="7">
        <f t="shared" si="0"/>
        <v>4.9999999999998934E-3</v>
      </c>
      <c r="G23" s="6">
        <f>(F23/D23)*100</f>
        <v>0.23992322456813306</v>
      </c>
      <c r="H23" s="11"/>
      <c r="L23" s="2"/>
      <c r="N23" s="2"/>
      <c r="O23" s="2"/>
      <c r="P23" s="2"/>
    </row>
    <row r="24" spans="3:16" x14ac:dyDescent="0.45">
      <c r="C24" s="8">
        <v>15</v>
      </c>
      <c r="D24" s="8">
        <v>0.75</v>
      </c>
      <c r="E24" s="9" t="s">
        <v>4</v>
      </c>
      <c r="F24" s="9" t="e">
        <f t="shared" si="0"/>
        <v>#VALUE!</v>
      </c>
      <c r="G24" s="8" t="e">
        <f>(F24/D24)*100</f>
        <v>#VALUE!</v>
      </c>
      <c r="H24" s="12"/>
      <c r="L24" s="2"/>
      <c r="N24" s="2"/>
      <c r="O24" s="2"/>
      <c r="P24" s="2"/>
    </row>
    <row r="25" spans="3:16" x14ac:dyDescent="0.45">
      <c r="C25" s="8">
        <v>20</v>
      </c>
      <c r="D25" s="8">
        <v>1</v>
      </c>
      <c r="E25" s="9" t="s">
        <v>4</v>
      </c>
      <c r="F25" s="9" t="e">
        <f t="shared" si="0"/>
        <v>#VALUE!</v>
      </c>
      <c r="G25" s="8" t="e">
        <f>(F25/D25)*100</f>
        <v>#VALUE!</v>
      </c>
      <c r="H25" s="11"/>
      <c r="L25" s="2"/>
      <c r="N25" s="2"/>
      <c r="O25" s="2"/>
      <c r="P25" s="2"/>
    </row>
    <row r="26" spans="3:16" x14ac:dyDescent="0.45">
      <c r="C26" s="8">
        <v>25</v>
      </c>
      <c r="D26" s="8">
        <v>1.25</v>
      </c>
      <c r="E26" s="9" t="s">
        <v>4</v>
      </c>
      <c r="F26" s="9" t="e">
        <f t="shared" si="0"/>
        <v>#VALUE!</v>
      </c>
      <c r="G26" s="8" t="e">
        <f>(F26/D26)*100</f>
        <v>#VALUE!</v>
      </c>
      <c r="H26" s="11"/>
      <c r="L26" s="2"/>
      <c r="N26" s="2"/>
      <c r="O26" s="2"/>
      <c r="P26" s="2"/>
    </row>
    <row r="27" spans="3:16" x14ac:dyDescent="0.45">
      <c r="C27" s="8">
        <v>30</v>
      </c>
      <c r="D27" s="8">
        <v>1.5</v>
      </c>
      <c r="E27" s="9" t="s">
        <v>4</v>
      </c>
      <c r="F27" s="9" t="e">
        <f t="shared" si="0"/>
        <v>#VALUE!</v>
      </c>
      <c r="G27" s="8" t="e">
        <f>(F27/D27)*100</f>
        <v>#VALUE!</v>
      </c>
      <c r="H27" s="11"/>
      <c r="I27" s="5"/>
      <c r="J27" s="5"/>
    </row>
    <row r="28" spans="3:16" x14ac:dyDescent="0.45">
      <c r="C28" s="8">
        <v>35</v>
      </c>
      <c r="D28" s="8">
        <v>1.75</v>
      </c>
      <c r="E28" s="9" t="s">
        <v>4</v>
      </c>
      <c r="F28" s="9" t="e">
        <f t="shared" si="0"/>
        <v>#VALUE!</v>
      </c>
      <c r="G28" s="8" t="e">
        <f>(F28/D28)*100</f>
        <v>#VALUE!</v>
      </c>
      <c r="H28" s="11"/>
    </row>
    <row r="29" spans="3:16" x14ac:dyDescent="0.45">
      <c r="C29" s="8">
        <v>40</v>
      </c>
      <c r="D29" s="8">
        <v>2</v>
      </c>
      <c r="E29" s="9" t="s">
        <v>4</v>
      </c>
      <c r="F29" s="9" t="e">
        <f t="shared" si="0"/>
        <v>#VALUE!</v>
      </c>
      <c r="G29" s="8" t="e">
        <f>(F29/D29)*100</f>
        <v>#VALUE!</v>
      </c>
      <c r="H29" s="11"/>
    </row>
    <row r="30" spans="3:16" x14ac:dyDescent="0.45">
      <c r="C30" s="8">
        <v>45</v>
      </c>
      <c r="D30" s="8">
        <v>2.25</v>
      </c>
      <c r="E30" s="9" t="s">
        <v>4</v>
      </c>
      <c r="F30" s="9" t="e">
        <f t="shared" si="0"/>
        <v>#VALUE!</v>
      </c>
      <c r="G30" s="8" t="e">
        <f>(F30/D30)*100</f>
        <v>#VALUE!</v>
      </c>
      <c r="H30" s="11"/>
    </row>
    <row r="31" spans="3:16" x14ac:dyDescent="0.45">
      <c r="C31" s="8">
        <v>50</v>
      </c>
      <c r="D31" s="8">
        <v>2.5</v>
      </c>
      <c r="E31" s="9" t="s">
        <v>4</v>
      </c>
      <c r="F31" s="9" t="e">
        <f t="shared" si="0"/>
        <v>#VALUE!</v>
      </c>
      <c r="G31" s="8" t="e">
        <f>(F31/D31)*100</f>
        <v>#VALUE!</v>
      </c>
      <c r="H31" s="11"/>
    </row>
    <row r="34" spans="1:5" ht="18" x14ac:dyDescent="0.55000000000000004">
      <c r="A34" s="13" t="s">
        <v>5</v>
      </c>
      <c r="B34" s="13"/>
      <c r="C34" s="13"/>
      <c r="D34" s="13"/>
      <c r="E34" s="2">
        <v>0.1042</v>
      </c>
    </row>
  </sheetData>
  <mergeCells count="1">
    <mergeCell ref="A34:D34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17AC-E29F-4103-A222-80093AF6B626}">
  <dimension ref="A1:B13"/>
  <sheetViews>
    <sheetView workbookViewId="0">
      <selection activeCell="D11" sqref="D11"/>
    </sheetView>
  </sheetViews>
  <sheetFormatPr defaultRowHeight="14.25" x14ac:dyDescent="0.45"/>
  <cols>
    <col min="2" max="2" width="14.1328125" bestFit="1" customWidth="1"/>
    <col min="3" max="3" width="13.86328125" bestFit="1" customWidth="1"/>
  </cols>
  <sheetData>
    <row r="1" spans="1:2" x14ac:dyDescent="0.45">
      <c r="A1" t="s">
        <v>7</v>
      </c>
      <c r="B1" t="s">
        <v>6</v>
      </c>
    </row>
    <row r="2" spans="1:2" x14ac:dyDescent="0.45">
      <c r="A2">
        <v>38</v>
      </c>
      <c r="B2">
        <v>40</v>
      </c>
    </row>
    <row r="3" spans="1:2" x14ac:dyDescent="0.45">
      <c r="A3">
        <v>55</v>
      </c>
      <c r="B3">
        <v>60</v>
      </c>
    </row>
    <row r="4" spans="1:2" x14ac:dyDescent="0.45">
      <c r="A4">
        <v>76</v>
      </c>
      <c r="B4">
        <v>70</v>
      </c>
    </row>
    <row r="5" spans="1:2" x14ac:dyDescent="0.45">
      <c r="A5">
        <v>103</v>
      </c>
      <c r="B5">
        <v>80</v>
      </c>
    </row>
    <row r="13" spans="1:2" ht="23.25" x14ac:dyDescent="0.45">
      <c r="B13" s="1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thermal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Ilhan Kaan (PSS AIS AMK SAS)</dc:creator>
  <cp:lastModifiedBy>Kaan Ilhan</cp:lastModifiedBy>
  <dcterms:created xsi:type="dcterms:W3CDTF">2015-06-05T18:17:20Z</dcterms:created>
  <dcterms:modified xsi:type="dcterms:W3CDTF">2025-06-11T14:40:36Z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2024-12-12T11:00:51Z</vt:lpwstr>
  </property>
  <property fmtid="{D5CDD505-2E9C-101B-9397-08002B2CF9AE}" pid="4" name="MSIP_Label_a15a25aa-e944-415d-b7a7-40f6b9180b6b_Method">
    <vt:lpwstr>Standard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76c0e471-fa7e-4d8e-96d4-3f4a384e6c4c</vt:lpwstr>
  </property>
  <property fmtid="{D5CDD505-2E9C-101B-9397-08002B2CF9AE}" pid="8" name="MSIP_Label_a15a25aa-e944-415d-b7a7-40f6b9180b6b_ContentBits">
    <vt:lpwstr>0</vt:lpwstr>
  </property>
</Properties>
</file>