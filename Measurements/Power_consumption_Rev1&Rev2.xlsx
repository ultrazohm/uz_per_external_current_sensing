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lhan\Documents\uz_per_external_current_sensing\Measurements\"/>
    </mc:Choice>
  </mc:AlternateContent>
  <xr:revisionPtr revIDLastSave="0" documentId="13_ncr:1_{B1047BFB-00EE-41C6-A4F9-9D16B25744BE}" xr6:coauthVersionLast="47" xr6:coauthVersionMax="47" xr10:uidLastSave="{00000000-0000-0000-0000-000000000000}"/>
  <bookViews>
    <workbookView xWindow="-98" yWindow="-98" windowWidth="21795" windowHeight="12975" activeTab="1" xr2:uid="{EB9DD58E-0AF9-4FF2-A94E-3D3316C92CC3}"/>
  </bookViews>
  <sheets>
    <sheet name="Rev1" sheetId="1" r:id="rId1"/>
    <sheet name="Rev2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3" l="1"/>
  <c r="D9" i="3"/>
  <c r="D10" i="3"/>
  <c r="D11" i="3"/>
  <c r="D15" i="3"/>
  <c r="D16" i="3"/>
  <c r="D7" i="3"/>
</calcChain>
</file>

<file path=xl/sharedStrings.xml><?xml version="1.0" encoding="utf-8"?>
<sst xmlns="http://schemas.openxmlformats.org/spreadsheetml/2006/main" count="30" uniqueCount="16">
  <si>
    <t>Current (A)</t>
  </si>
  <si>
    <t>Temperature (°C)</t>
  </si>
  <si>
    <t>P_tot (mW)</t>
  </si>
  <si>
    <t xml:space="preserve">I_load (mA) </t>
  </si>
  <si>
    <t>&gt;160</t>
  </si>
  <si>
    <t>Vin = 5V</t>
  </si>
  <si>
    <t>Vin = 48V</t>
  </si>
  <si>
    <t>VCC+ (V)</t>
  </si>
  <si>
    <t>5.11</t>
  </si>
  <si>
    <t>5.10</t>
  </si>
  <si>
    <t>3.9</t>
  </si>
  <si>
    <t>--</t>
  </si>
  <si>
    <t>LDO Temperature (°C)</t>
  </si>
  <si>
    <t>REV2</t>
  </si>
  <si>
    <t>REV1</t>
  </si>
  <si>
    <t xml:space="preserve">I_load_calc (mA)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</si>
</sst>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" xfId="0" applyBorder="1"/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5" xfId="0" quotePrefix="1" applyBorder="1" applyAlignment="1">
      <alignment horizontal="center"/>
    </xf>
    <xf numFmtId="0" fontId="1" fillId="0" borderId="1" xfId="0" applyFont="1" applyBorder="1"/>
    <xf numFmtId="0" fontId="2" fillId="0" borderId="0" xfId="0" applyFont="1"/>
    <xf numFmtId="0" fontId="1" fillId="0" borderId="3" xfId="0" applyFont="1" applyBorder="1"/>
    <xf numFmtId="0" fontId="0" fillId="0" borderId="0" xfId="0" applyBorder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F694C-F9A1-4865-9EF4-60D1E22E0525}">
  <dimension ref="B1:E19"/>
  <sheetViews>
    <sheetView workbookViewId="0">
      <selection activeCell="I21" sqref="I21"/>
    </sheetView>
  </sheetViews>
  <sheetFormatPr defaultRowHeight="14.25" x14ac:dyDescent="0.45"/>
  <cols>
    <col min="2" max="2" width="12.73046875" customWidth="1"/>
    <col min="3" max="3" width="11.73046875" customWidth="1"/>
    <col min="4" max="4" width="11.1328125" customWidth="1"/>
    <col min="5" max="5" width="14.19921875" bestFit="1" customWidth="1"/>
  </cols>
  <sheetData>
    <row r="1" spans="2:5" ht="14.65" thickBot="1" x14ac:dyDescent="0.5"/>
    <row r="2" spans="2:5" ht="21.4" thickBot="1" x14ac:dyDescent="0.7">
      <c r="B2" s="21" t="s">
        <v>14</v>
      </c>
    </row>
    <row r="3" spans="2:5" ht="14.65" thickBot="1" x14ac:dyDescent="0.5"/>
    <row r="4" spans="2:5" ht="14.65" thickBot="1" x14ac:dyDescent="0.5">
      <c r="B4" s="13" t="s">
        <v>5</v>
      </c>
    </row>
    <row r="5" spans="2:5" ht="14.65" thickBot="1" x14ac:dyDescent="0.5"/>
    <row r="6" spans="2:5" ht="14.65" thickBot="1" x14ac:dyDescent="0.5">
      <c r="B6" s="1" t="s">
        <v>0</v>
      </c>
      <c r="C6" s="2" t="s">
        <v>2</v>
      </c>
      <c r="D6" s="2" t="s">
        <v>3</v>
      </c>
      <c r="E6" s="3" t="s">
        <v>1</v>
      </c>
    </row>
    <row r="7" spans="2:5" x14ac:dyDescent="0.45">
      <c r="B7" s="6">
        <v>0</v>
      </c>
      <c r="C7" s="5">
        <v>150</v>
      </c>
      <c r="D7" s="5">
        <v>30</v>
      </c>
      <c r="E7" s="7"/>
    </row>
    <row r="8" spans="2:5" x14ac:dyDescent="0.45">
      <c r="B8" s="8">
        <v>10</v>
      </c>
      <c r="C8" s="4">
        <v>323</v>
      </c>
      <c r="D8" s="4">
        <v>65</v>
      </c>
      <c r="E8" s="9"/>
    </row>
    <row r="9" spans="2:5" x14ac:dyDescent="0.45">
      <c r="B9" s="8">
        <v>20</v>
      </c>
      <c r="C9" s="4">
        <v>492</v>
      </c>
      <c r="D9" s="4">
        <v>98</v>
      </c>
      <c r="E9" s="9"/>
    </row>
    <row r="10" spans="2:5" x14ac:dyDescent="0.45">
      <c r="B10" s="8">
        <v>30</v>
      </c>
      <c r="C10" s="4">
        <v>663</v>
      </c>
      <c r="D10" s="4">
        <v>133</v>
      </c>
      <c r="E10" s="9"/>
    </row>
    <row r="11" spans="2:5" x14ac:dyDescent="0.45">
      <c r="B11" s="8">
        <v>40</v>
      </c>
      <c r="C11" s="4">
        <v>836</v>
      </c>
      <c r="D11" s="4">
        <v>167</v>
      </c>
      <c r="E11" s="9"/>
    </row>
    <row r="12" spans="2:5" x14ac:dyDescent="0.45">
      <c r="B12" s="8">
        <v>50</v>
      </c>
      <c r="C12" s="4">
        <v>1007</v>
      </c>
      <c r="D12" s="4">
        <v>200</v>
      </c>
      <c r="E12" s="9"/>
    </row>
    <row r="13" spans="2:5" x14ac:dyDescent="0.45">
      <c r="B13" s="8">
        <v>60</v>
      </c>
      <c r="C13" s="4">
        <v>1179</v>
      </c>
      <c r="D13" s="4">
        <v>236</v>
      </c>
      <c r="E13" s="9">
        <v>85</v>
      </c>
    </row>
    <row r="14" spans="2:5" x14ac:dyDescent="0.45">
      <c r="B14" s="8">
        <v>70</v>
      </c>
      <c r="C14" s="4">
        <v>1351</v>
      </c>
      <c r="D14" s="4">
        <v>270</v>
      </c>
      <c r="E14" s="9"/>
    </row>
    <row r="15" spans="2:5" x14ac:dyDescent="0.45">
      <c r="B15" s="8">
        <v>80</v>
      </c>
      <c r="C15" s="4">
        <v>1535</v>
      </c>
      <c r="D15" s="4">
        <v>307</v>
      </c>
      <c r="E15" s="9">
        <v>115</v>
      </c>
    </row>
    <row r="16" spans="2:5" x14ac:dyDescent="0.45">
      <c r="B16" s="8">
        <v>90</v>
      </c>
      <c r="C16" s="4">
        <v>1711</v>
      </c>
      <c r="D16" s="4">
        <v>342</v>
      </c>
      <c r="E16" s="9">
        <v>130</v>
      </c>
    </row>
    <row r="17" spans="2:5" x14ac:dyDescent="0.45">
      <c r="B17" s="8">
        <v>100</v>
      </c>
      <c r="C17" s="4">
        <v>1880</v>
      </c>
      <c r="D17" s="4">
        <v>376</v>
      </c>
      <c r="E17" s="9">
        <v>140</v>
      </c>
    </row>
    <row r="18" spans="2:5" x14ac:dyDescent="0.45">
      <c r="B18" s="8">
        <v>110</v>
      </c>
      <c r="C18" s="4">
        <v>2046</v>
      </c>
      <c r="D18" s="4">
        <v>409</v>
      </c>
      <c r="E18" s="9" t="s">
        <v>4</v>
      </c>
    </row>
    <row r="19" spans="2:5" ht="14.65" thickBot="1" x14ac:dyDescent="0.5">
      <c r="B19" s="10">
        <v>120</v>
      </c>
      <c r="C19" s="11">
        <v>2200</v>
      </c>
      <c r="D19" s="11">
        <v>440</v>
      </c>
      <c r="E19" s="1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AA2982-00FD-458E-889C-9FC7416F8546}">
  <dimension ref="A1:F16"/>
  <sheetViews>
    <sheetView tabSelected="1" workbookViewId="0">
      <selection activeCell="H13" sqref="H13"/>
    </sheetView>
  </sheetViews>
  <sheetFormatPr defaultRowHeight="14.25" x14ac:dyDescent="0.45"/>
  <cols>
    <col min="2" max="3" width="9.46484375" bestFit="1" customWidth="1"/>
    <col min="4" max="4" width="14.19921875" bestFit="1" customWidth="1"/>
    <col min="5" max="5" width="10" customWidth="1"/>
    <col min="6" max="6" width="18.265625" bestFit="1" customWidth="1"/>
  </cols>
  <sheetData>
    <row r="1" spans="1:6" ht="14.65" thickBot="1" x14ac:dyDescent="0.5"/>
    <row r="2" spans="1:6" ht="21.4" thickBot="1" x14ac:dyDescent="0.7">
      <c r="B2" s="21" t="s">
        <v>13</v>
      </c>
    </row>
    <row r="3" spans="1:6" ht="21.4" thickBot="1" x14ac:dyDescent="0.7">
      <c r="B3" s="18"/>
    </row>
    <row r="4" spans="1:6" ht="14.65" thickBot="1" x14ac:dyDescent="0.5">
      <c r="B4" s="17" t="s">
        <v>6</v>
      </c>
    </row>
    <row r="5" spans="1:6" ht="14.65" thickBot="1" x14ac:dyDescent="0.5">
      <c r="A5" s="20"/>
      <c r="B5" s="19"/>
    </row>
    <row r="6" spans="1:6" ht="14.65" thickBot="1" x14ac:dyDescent="0.5">
      <c r="B6" s="1" t="s">
        <v>0</v>
      </c>
      <c r="C6" s="2" t="s">
        <v>2</v>
      </c>
      <c r="D6" s="2" t="s">
        <v>15</v>
      </c>
      <c r="E6" s="2" t="s">
        <v>7</v>
      </c>
      <c r="F6" s="3" t="s">
        <v>12</v>
      </c>
    </row>
    <row r="7" spans="1:6" x14ac:dyDescent="0.45">
      <c r="B7" s="6">
        <v>0</v>
      </c>
      <c r="C7" s="5">
        <v>400</v>
      </c>
      <c r="D7" s="5">
        <f>C7/5.11</f>
        <v>78.277886497064571</v>
      </c>
      <c r="E7" s="14" t="s">
        <v>8</v>
      </c>
      <c r="F7" s="7"/>
    </row>
    <row r="8" spans="1:6" x14ac:dyDescent="0.45">
      <c r="B8" s="8">
        <v>10</v>
      </c>
      <c r="C8" s="4">
        <v>687</v>
      </c>
      <c r="D8" s="5">
        <f t="shared" ref="D8:D16" si="0">C8/5.11</f>
        <v>134.4422700587084</v>
      </c>
      <c r="E8" s="14" t="s">
        <v>8</v>
      </c>
      <c r="F8" s="9">
        <v>30</v>
      </c>
    </row>
    <row r="9" spans="1:6" x14ac:dyDescent="0.45">
      <c r="B9" s="8">
        <v>20</v>
      </c>
      <c r="C9" s="4">
        <v>921</v>
      </c>
      <c r="D9" s="5">
        <f t="shared" si="0"/>
        <v>180.23483365949119</v>
      </c>
      <c r="E9" s="14" t="s">
        <v>8</v>
      </c>
      <c r="F9" s="9"/>
    </row>
    <row r="10" spans="1:6" x14ac:dyDescent="0.45">
      <c r="B10" s="8">
        <v>30</v>
      </c>
      <c r="C10" s="4">
        <v>1167</v>
      </c>
      <c r="D10" s="5">
        <f t="shared" si="0"/>
        <v>228.3757338551859</v>
      </c>
      <c r="E10" s="14" t="s">
        <v>8</v>
      </c>
      <c r="F10" s="9"/>
    </row>
    <row r="11" spans="1:6" x14ac:dyDescent="0.45">
      <c r="B11" s="8">
        <v>40</v>
      </c>
      <c r="C11" s="4">
        <v>1410</v>
      </c>
      <c r="D11" s="5">
        <f t="shared" si="0"/>
        <v>275.92954990215264</v>
      </c>
      <c r="E11" s="14" t="s">
        <v>8</v>
      </c>
      <c r="F11" s="9"/>
    </row>
    <row r="12" spans="1:6" x14ac:dyDescent="0.45">
      <c r="B12" s="8">
        <v>50</v>
      </c>
      <c r="C12" s="16" t="s">
        <v>11</v>
      </c>
      <c r="D12" s="16" t="s">
        <v>11</v>
      </c>
      <c r="E12" s="14" t="s">
        <v>8</v>
      </c>
      <c r="F12" s="9"/>
    </row>
    <row r="13" spans="1:6" x14ac:dyDescent="0.45">
      <c r="B13" s="8">
        <v>60</v>
      </c>
      <c r="C13" s="16" t="s">
        <v>11</v>
      </c>
      <c r="D13" s="16" t="s">
        <v>11</v>
      </c>
      <c r="E13" s="14" t="s">
        <v>8</v>
      </c>
      <c r="F13" s="9"/>
    </row>
    <row r="14" spans="1:6" x14ac:dyDescent="0.45">
      <c r="B14" s="8">
        <v>70</v>
      </c>
      <c r="C14" s="16" t="s">
        <v>11</v>
      </c>
      <c r="D14" s="16" t="s">
        <v>11</v>
      </c>
      <c r="E14" s="14" t="s">
        <v>8</v>
      </c>
      <c r="F14" s="9"/>
    </row>
    <row r="15" spans="1:6" x14ac:dyDescent="0.45">
      <c r="B15" s="8">
        <v>80</v>
      </c>
      <c r="C15" s="4">
        <v>2400</v>
      </c>
      <c r="D15" s="5">
        <f t="shared" si="0"/>
        <v>469.66731898238743</v>
      </c>
      <c r="E15" s="15" t="s">
        <v>9</v>
      </c>
      <c r="F15" s="9">
        <v>42</v>
      </c>
    </row>
    <row r="16" spans="1:6" x14ac:dyDescent="0.45">
      <c r="B16" s="8">
        <v>90</v>
      </c>
      <c r="C16" s="4">
        <v>2494</v>
      </c>
      <c r="D16" s="5">
        <f t="shared" si="0"/>
        <v>488.06262230919759</v>
      </c>
      <c r="E16" s="15" t="s">
        <v>10</v>
      </c>
      <c r="F16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Rev1</vt:lpstr>
      <vt:lpstr>Rev2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Kaan Ilhan</dc:creator>
  <cp:lastModifiedBy>Kaan Ilhan</cp:lastModifiedBy>
  <dcterms:created xsi:type="dcterms:W3CDTF">2025-06-18T10:02:11Z</dcterms:created>
  <dcterms:modified xsi:type="dcterms:W3CDTF">2025-06-18T10:18:50Z</dcterms:modified>
</cp:coreProperties>
</file>