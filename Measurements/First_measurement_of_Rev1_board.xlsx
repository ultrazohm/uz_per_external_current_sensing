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IlhanK\Desktop\FP\"/>
    </mc:Choice>
  </mc:AlternateContent>
  <xr:revisionPtr revIDLastSave="0" documentId="13_ncr:1_{A47AA580-7EF1-487F-B5F1-FDF5474A6F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6" i="1"/>
  <c r="R3" i="1"/>
  <c r="Q15" i="1"/>
  <c r="Q19" i="1"/>
  <c r="Q23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O7" i="1"/>
  <c r="Q7" i="1" s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O16" i="1"/>
  <c r="Q16" i="1" s="1"/>
  <c r="O17" i="1"/>
  <c r="Q17" i="1" s="1"/>
  <c r="O18" i="1"/>
  <c r="Q18" i="1" s="1"/>
  <c r="O19" i="1"/>
  <c r="O20" i="1"/>
  <c r="Q20" i="1" s="1"/>
  <c r="O21" i="1"/>
  <c r="Q21" i="1" s="1"/>
  <c r="O22" i="1"/>
  <c r="Q22" i="1" s="1"/>
  <c r="O23" i="1"/>
  <c r="O24" i="1"/>
  <c r="Q24" i="1" s="1"/>
  <c r="O25" i="1"/>
  <c r="Q25" i="1" s="1"/>
  <c r="O26" i="1"/>
  <c r="Q26" i="1" s="1"/>
  <c r="P6" i="1"/>
  <c r="O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6" i="1"/>
  <c r="M7" i="1"/>
  <c r="M11" i="1"/>
  <c r="M15" i="1"/>
  <c r="M19" i="1"/>
  <c r="M23" i="1"/>
  <c r="M6" i="1"/>
  <c r="L7" i="1"/>
  <c r="L8" i="1"/>
  <c r="M8" i="1" s="1"/>
  <c r="L9" i="1"/>
  <c r="M9" i="1" s="1"/>
  <c r="L10" i="1"/>
  <c r="M10" i="1" s="1"/>
  <c r="L11" i="1"/>
  <c r="L12" i="1"/>
  <c r="M12" i="1" s="1"/>
  <c r="L13" i="1"/>
  <c r="M13" i="1" s="1"/>
  <c r="L14" i="1"/>
  <c r="M14" i="1" s="1"/>
  <c r="L15" i="1"/>
  <c r="L16" i="1"/>
  <c r="M16" i="1" s="1"/>
  <c r="L17" i="1"/>
  <c r="M17" i="1" s="1"/>
  <c r="L18" i="1"/>
  <c r="M18" i="1" s="1"/>
  <c r="L19" i="1"/>
  <c r="L20" i="1"/>
  <c r="M20" i="1" s="1"/>
  <c r="L21" i="1"/>
  <c r="M21" i="1" s="1"/>
  <c r="L22" i="1"/>
  <c r="M22" i="1" s="1"/>
  <c r="L23" i="1"/>
  <c r="L24" i="1"/>
  <c r="M24" i="1" s="1"/>
  <c r="L25" i="1"/>
  <c r="M25" i="1" s="1"/>
  <c r="L26" i="1"/>
  <c r="M26" i="1" s="1"/>
  <c r="L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6" i="1"/>
</calcChain>
</file>

<file path=xl/sharedStrings.xml><?xml version="1.0" encoding="utf-8"?>
<sst xmlns="http://schemas.openxmlformats.org/spreadsheetml/2006/main" count="26" uniqueCount="25">
  <si>
    <t>I_IN (A)</t>
  </si>
  <si>
    <t>Vin_diff (V)</t>
  </si>
  <si>
    <t>Vout_soll (V)</t>
  </si>
  <si>
    <t>Vout_meas (V)</t>
  </si>
  <si>
    <t>TP1 (V)</t>
  </si>
  <si>
    <t>TP3 (V)</t>
  </si>
  <si>
    <t>TP2 (V)</t>
  </si>
  <si>
    <t>V_ref</t>
  </si>
  <si>
    <t>VOUT</t>
  </si>
  <si>
    <t>TP2-TP4</t>
  </si>
  <si>
    <t>VIN-(V)</t>
  </si>
  <si>
    <t>VOUT (V)</t>
  </si>
  <si>
    <t xml:space="preserve">TP4 (V) </t>
  </si>
  <si>
    <t>V_ref (V)</t>
  </si>
  <si>
    <t>VIN+ (V)</t>
  </si>
  <si>
    <t>Deviation w/o R5 (%)</t>
  </si>
  <si>
    <t>Output of Sensor</t>
  </si>
  <si>
    <t>Input of OpAmp</t>
  </si>
  <si>
    <t>Gain</t>
  </si>
  <si>
    <t>Real Gain (w/ R5)</t>
  </si>
  <si>
    <t>Deviation w/ R5 (V)</t>
  </si>
  <si>
    <t>Deviation w/ R5 (%)</t>
  </si>
  <si>
    <t>TP1-TP3</t>
  </si>
  <si>
    <t>8 mV off for all</t>
  </si>
  <si>
    <t>6 mV off for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</si>
</sst>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 b="1"/>
              <a:t>Error (%) vs Current 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364776195981053E-2"/>
          <c:y val="9.1955293989646164E-2"/>
          <c:w val="0.92843394090715936"/>
          <c:h val="0.81809467664525071"/>
        </c:manualLayout>
      </c:layout>
      <c:scatterChart>
        <c:scatterStyle val="lineMarker"/>
        <c:varyColors val="0"/>
        <c:ser>
          <c:idx val="0"/>
          <c:order val="0"/>
          <c:tx>
            <c:v>Error w/ R5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Sheet1!$C$6:$C$26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Sheet1!$M$6:$M$26</c:f>
              <c:numCache>
                <c:formatCode>General</c:formatCode>
                <c:ptCount val="21"/>
                <c:pt idx="0">
                  <c:v>3.9799999999999947</c:v>
                </c:pt>
                <c:pt idx="1">
                  <c:v>3.8888888888888924</c:v>
                </c:pt>
                <c:pt idx="2">
                  <c:v>3.7500000000000036</c:v>
                </c:pt>
                <c:pt idx="3">
                  <c:v>3.5714285714285587</c:v>
                </c:pt>
                <c:pt idx="4">
                  <c:v>3.4333333333333256</c:v>
                </c:pt>
                <c:pt idx="5">
                  <c:v>3.080000000000005</c:v>
                </c:pt>
                <c:pt idx="6">
                  <c:v>2.6499999999999995</c:v>
                </c:pt>
                <c:pt idx="7">
                  <c:v>1.933333333333324</c:v>
                </c:pt>
                <c:pt idx="8">
                  <c:v>0.40000000000001146</c:v>
                </c:pt>
                <c:pt idx="9">
                  <c:v>-3.5999999999999921</c:v>
                </c:pt>
                <c:pt idx="10">
                  <c:v>0</c:v>
                </c:pt>
                <c:pt idx="11">
                  <c:v>13.800000000000006</c:v>
                </c:pt>
                <c:pt idx="12">
                  <c:v>9.1999999999999993</c:v>
                </c:pt>
                <c:pt idx="13">
                  <c:v>7.6666666666666554</c:v>
                </c:pt>
                <c:pt idx="14">
                  <c:v>7.0500000000000007</c:v>
                </c:pt>
                <c:pt idx="15">
                  <c:v>6.5999999999999943</c:v>
                </c:pt>
                <c:pt idx="16">
                  <c:v>6.2666666666666622</c:v>
                </c:pt>
                <c:pt idx="17">
                  <c:v>6.0857142857142819</c:v>
                </c:pt>
                <c:pt idx="18">
                  <c:v>5.9249999999999998</c:v>
                </c:pt>
                <c:pt idx="19">
                  <c:v>5.8000000000000025</c:v>
                </c:pt>
                <c:pt idx="20">
                  <c:v>5.7000000000000046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2-4372-ABF1-28D3AAC63C15}"/>
            </c:ext>
          </c:extLst>
        </c:ser>
        <c:ser>
          <c:idx val="1"/>
          <c:order val="1"/>
          <c:tx>
            <c:v>Error w/o R5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Sheet1!$C$6:$C$26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Sheet1!$N$6:$N$26</c:f>
              <c:numCache>
                <c:formatCode>0.0000</c:formatCode>
                <c:ptCount val="21"/>
                <c:pt idx="0">
                  <c:v>0.91999999999998749</c:v>
                </c:pt>
                <c:pt idx="1">
                  <c:v>1.0222222222222455</c:v>
                </c:pt>
                <c:pt idx="2">
                  <c:v>1.1000000000001842</c:v>
                </c:pt>
                <c:pt idx="3">
                  <c:v>1.2571428571428773</c:v>
                </c:pt>
                <c:pt idx="4">
                  <c:v>1.5333333333332571</c:v>
                </c:pt>
                <c:pt idx="5">
                  <c:v>1.839999999999975</c:v>
                </c:pt>
                <c:pt idx="6">
                  <c:v>2.1999999999998412</c:v>
                </c:pt>
                <c:pt idx="7">
                  <c:v>2.9333333333338429</c:v>
                </c:pt>
                <c:pt idx="8">
                  <c:v>4.400000000000043</c:v>
                </c:pt>
                <c:pt idx="9">
                  <c:v>8.0000000000005347</c:v>
                </c:pt>
                <c:pt idx="10">
                  <c:v>0</c:v>
                </c:pt>
                <c:pt idx="11">
                  <c:v>-9.2000000000002355</c:v>
                </c:pt>
                <c:pt idx="12">
                  <c:v>-4.2000000000003421</c:v>
                </c:pt>
                <c:pt idx="13">
                  <c:v>-2.8000000000003396</c:v>
                </c:pt>
                <c:pt idx="14">
                  <c:v>-2.2000000000001183</c:v>
                </c:pt>
                <c:pt idx="15">
                  <c:v>-1.839999999999975</c:v>
                </c:pt>
                <c:pt idx="16">
                  <c:v>-1.4000000000000494</c:v>
                </c:pt>
                <c:pt idx="17">
                  <c:v>-1.2000000000000899</c:v>
                </c:pt>
                <c:pt idx="18">
                  <c:v>-1.1500000000001231</c:v>
                </c:pt>
                <c:pt idx="19">
                  <c:v>-0.93333333333348956</c:v>
                </c:pt>
                <c:pt idx="20">
                  <c:v>-0.91999999999998749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92-4372-ABF1-28D3AAC6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250239"/>
        <c:axId val="774255039"/>
      </c:scatterChart>
      <c:valAx>
        <c:axId val="774250239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2000" b="1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55039"/>
        <c:crosses val="autoZero"/>
        <c:crossBetween val="midCat"/>
      </c:valAx>
      <c:valAx>
        <c:axId val="774255039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2000" b="1"/>
                  <a:t>Error</a:t>
                </a:r>
                <a:r>
                  <a:rPr lang="de-DE" sz="2000" b="1" baseline="0"/>
                  <a:t> (%)</a:t>
                </a:r>
                <a:endParaRPr lang="de-DE" sz="2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50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783078108654025"/>
          <c:y val="0.70864511093719518"/>
          <c:w val="0.18864445274600869"/>
          <c:h val="0.2224229485228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173182</xdr:colOff>
      <xdr:row>28</xdr:row>
      <xdr:rowOff>40822</xdr:rowOff>
    </xdr:from>
    <xdr:to>
      <xdr:col>16</xdr:col>
      <xdr:colOff>465368</xdr:colOff>
      <xdr:row>59</xdr:row>
      <xdr:rowOff>45766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F8FF4-16AD-59D3-8884-FB878A118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3289" y="5374822"/>
          <a:ext cx="13741664" cy="5910444"/>
        </a:xfrm>
        <a:prstGeom prst="rect">
          <a:avLst/>
        </a:prstGeom>
      </xdr:spPr>
    </xdr:pic>
    <xdr:clientData/>
  </xdr:twoCellAnchor>
  <xdr:twoCellAnchor>
    <xdr:from>
      <xdr:col>10</xdr:col>
      <xdr:colOff>821694</xdr:colOff>
      <xdr:row>39</xdr:row>
      <xdr:rowOff>28022</xdr:rowOff>
    </xdr:from>
    <xdr:to>
      <xdr:col>11</xdr:col>
      <xdr:colOff>123518</xdr:colOff>
      <xdr:row>40</xdr:row>
      <xdr:rowOff>49833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15D6FD7-21DB-6946-33CA-8FA5B7E8ED39}"/>
            </a:ext>
          </a:extLst>
        </xdr:cNvPr>
        <xdr:cNvSpPr/>
      </xdr:nvSpPr>
      <xdr:spPr>
        <a:xfrm>
          <a:off x="9181282" y="7020493"/>
          <a:ext cx="231912" cy="20110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900084</xdr:colOff>
      <xdr:row>39</xdr:row>
      <xdr:rowOff>19400</xdr:rowOff>
    </xdr:from>
    <xdr:to>
      <xdr:col>11</xdr:col>
      <xdr:colOff>1105907</xdr:colOff>
      <xdr:row>40</xdr:row>
      <xdr:rowOff>38489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B3352E6-809E-4DA9-833A-61689B2F1EAE}"/>
            </a:ext>
          </a:extLst>
        </xdr:cNvPr>
        <xdr:cNvSpPr/>
      </xdr:nvSpPr>
      <xdr:spPr>
        <a:xfrm>
          <a:off x="10189760" y="7011871"/>
          <a:ext cx="205823" cy="19838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924334</xdr:colOff>
      <xdr:row>42</xdr:row>
      <xdr:rowOff>19035</xdr:rowOff>
    </xdr:from>
    <xdr:to>
      <xdr:col>11</xdr:col>
      <xdr:colOff>1162596</xdr:colOff>
      <xdr:row>43</xdr:row>
      <xdr:rowOff>47196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726B9FC-2C6D-4C9B-9CEA-6B863242E66E}"/>
            </a:ext>
          </a:extLst>
        </xdr:cNvPr>
        <xdr:cNvSpPr/>
      </xdr:nvSpPr>
      <xdr:spPr>
        <a:xfrm>
          <a:off x="10207429" y="7639035"/>
          <a:ext cx="238262" cy="20959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183672</xdr:colOff>
      <xdr:row>42</xdr:row>
      <xdr:rowOff>27959</xdr:rowOff>
    </xdr:from>
    <xdr:to>
      <xdr:col>7</xdr:col>
      <xdr:colOff>402195</xdr:colOff>
      <xdr:row>43</xdr:row>
      <xdr:rowOff>52945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FFB08A-9217-46CD-A7E9-79B1DE07EF89}"/>
            </a:ext>
          </a:extLst>
        </xdr:cNvPr>
        <xdr:cNvSpPr/>
      </xdr:nvSpPr>
      <xdr:spPr>
        <a:xfrm>
          <a:off x="5904720" y="7647959"/>
          <a:ext cx="218523" cy="20641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oneCellAnchor>
    <xdr:from>
      <xdr:col>7</xdr:col>
      <xdr:colOff>52385</xdr:colOff>
      <xdr:row>43</xdr:row>
      <xdr:rowOff>24597</xdr:rowOff>
    </xdr:from>
    <xdr:ext cx="499432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AF84ED0-CC74-CA22-886C-F1E459A5D25C}"/>
            </a:ext>
          </a:extLst>
        </xdr:cNvPr>
        <xdr:cNvSpPr txBox="1"/>
      </xdr:nvSpPr>
      <xdr:spPr>
        <a:xfrm>
          <a:off x="5773433" y="7826026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TP1</a:t>
          </a:r>
        </a:p>
      </xdr:txBody>
    </xdr:sp>
    <xdr:clientData/>
  </xdr:oneCellAnchor>
  <xdr:oneCellAnchor>
    <xdr:from>
      <xdr:col>10</xdr:col>
      <xdr:colOff>557323</xdr:colOff>
      <xdr:row>37</xdr:row>
      <xdr:rowOff>69096</xdr:rowOff>
    </xdr:from>
    <xdr:ext cx="499432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DE437F-C464-45AC-9661-A6BA65F5F568}"/>
            </a:ext>
          </a:extLst>
        </xdr:cNvPr>
        <xdr:cNvSpPr txBox="1"/>
      </xdr:nvSpPr>
      <xdr:spPr>
        <a:xfrm>
          <a:off x="8916911" y="6702978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TP3</a:t>
          </a:r>
        </a:p>
      </xdr:txBody>
    </xdr:sp>
    <xdr:clientData/>
  </xdr:oneCellAnchor>
  <xdr:oneCellAnchor>
    <xdr:from>
      <xdr:col>11</xdr:col>
      <xdr:colOff>747084</xdr:colOff>
      <xdr:row>40</xdr:row>
      <xdr:rowOff>123397</xdr:rowOff>
    </xdr:from>
    <xdr:ext cx="499432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2D6308F-6D9B-4D8B-A346-DF07B55E4201}"/>
            </a:ext>
          </a:extLst>
        </xdr:cNvPr>
        <xdr:cNvSpPr txBox="1"/>
      </xdr:nvSpPr>
      <xdr:spPr>
        <a:xfrm>
          <a:off x="10030179" y="7380540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TP2</a:t>
          </a:r>
        </a:p>
      </xdr:txBody>
    </xdr:sp>
    <xdr:clientData/>
  </xdr:oneCellAnchor>
  <xdr:oneCellAnchor>
    <xdr:from>
      <xdr:col>11</xdr:col>
      <xdr:colOff>768758</xdr:colOff>
      <xdr:row>37</xdr:row>
      <xdr:rowOff>83225</xdr:rowOff>
    </xdr:from>
    <xdr:ext cx="499432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5B4EA7D-FB9A-4210-BA7A-2E4A0E59D3C9}"/>
            </a:ext>
          </a:extLst>
        </xdr:cNvPr>
        <xdr:cNvSpPr txBox="1"/>
      </xdr:nvSpPr>
      <xdr:spPr>
        <a:xfrm>
          <a:off x="10058434" y="6717107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TP4</a:t>
          </a:r>
        </a:p>
      </xdr:txBody>
    </xdr:sp>
    <xdr:clientData/>
  </xdr:oneCellAnchor>
  <xdr:twoCellAnchor>
    <xdr:from>
      <xdr:col>18</xdr:col>
      <xdr:colOff>391162</xdr:colOff>
      <xdr:row>3</xdr:row>
      <xdr:rowOff>164673</xdr:rowOff>
    </xdr:from>
    <xdr:to>
      <xdr:col>32</xdr:col>
      <xdr:colOff>68168</xdr:colOff>
      <xdr:row>30</xdr:row>
      <xdr:rowOff>126761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4334DE-B46C-8BFE-1287-C37FE20E7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38100</xdr:colOff>
      <xdr:row>31</xdr:row>
      <xdr:rowOff>114300</xdr:rowOff>
    </xdr:from>
    <xdr:to>
      <xdr:col>32</xdr:col>
      <xdr:colOff>417985</xdr:colOff>
      <xdr:row>56</xdr:row>
      <xdr:rowOff>66061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555D32-1477-C6E5-46FD-6B0906EE6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83100" y="6019800"/>
          <a:ext cx="8914285" cy="4717436"/>
        </a:xfrm>
        <a:prstGeom prst="rect">
          <a:avLst/>
        </a:prstGeom>
      </xdr:spPr>
    </xdr:pic>
    <xdr:clientData/>
  </xdr:twoCellAnchor>
  <xdr:twoCellAnchor editAs="oneCell">
    <xdr:from>
      <xdr:col>3</xdr:col>
      <xdr:colOff>116140</xdr:colOff>
      <xdr:row>49</xdr:row>
      <xdr:rowOff>131727</xdr:rowOff>
    </xdr:from>
    <xdr:to>
      <xdr:col>14</xdr:col>
      <xdr:colOff>892688</xdr:colOff>
      <xdr:row>72</xdr:row>
      <xdr:rowOff>51155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CDB9BA7-E52D-14C7-0F7F-DF95F079C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31703" y="9334755"/>
          <a:ext cx="11965070" cy="4239217"/>
        </a:xfrm>
        <a:prstGeom prst="rect">
          <a:avLst/>
        </a:prstGeom>
      </xdr:spPr>
    </xdr:pic>
    <xdr:clientData/>
  </xdr:twoCellAnchor>
  <xdr:twoCellAnchor>
    <xdr:from>
      <xdr:col>7</xdr:col>
      <xdr:colOff>947460</xdr:colOff>
      <xdr:row>60</xdr:row>
      <xdr:rowOff>127383</xdr:rowOff>
    </xdr:from>
    <xdr:to>
      <xdr:col>8</xdr:col>
      <xdr:colOff>155349</xdr:colOff>
      <xdr:row>61</xdr:row>
      <xdr:rowOff>152369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58347EED-1952-4590-B572-E47876BA6B02}"/>
            </a:ext>
          </a:extLst>
        </xdr:cNvPr>
        <xdr:cNvSpPr/>
      </xdr:nvSpPr>
      <xdr:spPr>
        <a:xfrm>
          <a:off x="6653516" y="11396397"/>
          <a:ext cx="218523" cy="21280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951732</xdr:colOff>
      <xdr:row>66</xdr:row>
      <xdr:rowOff>73466</xdr:rowOff>
    </xdr:from>
    <xdr:to>
      <xdr:col>8</xdr:col>
      <xdr:colOff>159621</xdr:colOff>
      <xdr:row>67</xdr:row>
      <xdr:rowOff>98453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22A394C-1579-42CD-A948-D6169A2A4E70}"/>
            </a:ext>
          </a:extLst>
        </xdr:cNvPr>
        <xdr:cNvSpPr/>
      </xdr:nvSpPr>
      <xdr:spPr>
        <a:xfrm>
          <a:off x="6657788" y="12469381"/>
          <a:ext cx="218523" cy="212804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219525</xdr:colOff>
      <xdr:row>61</xdr:row>
      <xdr:rowOff>127109</xdr:rowOff>
    </xdr:from>
    <xdr:to>
      <xdr:col>9</xdr:col>
      <xdr:colOff>75209</xdr:colOff>
      <xdr:row>64</xdr:row>
      <xdr:rowOff>50139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ABF6003C-9E8C-D622-4D09-E1F76E31CD1E}"/>
            </a:ext>
          </a:extLst>
        </xdr:cNvPr>
        <xdr:cNvCxnSpPr/>
      </xdr:nvCxnSpPr>
      <xdr:spPr>
        <a:xfrm>
          <a:off x="6936215" y="11583940"/>
          <a:ext cx="669557" cy="486481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277254</xdr:colOff>
      <xdr:row>65</xdr:row>
      <xdr:rowOff>146350</xdr:rowOff>
    </xdr:from>
    <xdr:to>
      <xdr:col>9</xdr:col>
      <xdr:colOff>46345</xdr:colOff>
      <xdr:row>66</xdr:row>
      <xdr:rowOff>125212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0DA4316-D773-F1CA-789B-AFC1484E3075}"/>
            </a:ext>
          </a:extLst>
        </xdr:cNvPr>
        <xdr:cNvCxnSpPr/>
      </xdr:nvCxnSpPr>
      <xdr:spPr>
        <a:xfrm flipV="1">
          <a:off x="6993944" y="12354449"/>
          <a:ext cx="582964" cy="166678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3423</xdr:colOff>
      <xdr:row>64</xdr:row>
      <xdr:rowOff>3600</xdr:rowOff>
    </xdr:from>
    <xdr:ext cx="1473737" cy="342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982765B-1CD9-44DC-8650-D5F5C42C5789}"/>
            </a:ext>
          </a:extLst>
        </xdr:cNvPr>
        <xdr:cNvSpPr txBox="1"/>
      </xdr:nvSpPr>
      <xdr:spPr>
        <a:xfrm>
          <a:off x="7533986" y="12023882"/>
          <a:ext cx="147373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 baseline="0"/>
            <a:t>Voltage Probes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S27"/>
  <sheetViews>
    <sheetView tabSelected="1" topLeftCell="A35" zoomScale="51" zoomScaleNormal="70" workbookViewId="0">
      <selection activeCell="J69" sqref="J69"/>
    </sheetView>
  </sheetViews>
  <sheetFormatPr defaultRowHeight="14.5" x14ac:dyDescent="0.35"/>
  <cols>
    <col min="1" max="1" width="9.1796875" customWidth="1"/>
    <col min="2" max="2" width="6.81640625" customWidth="1"/>
    <col min="3" max="3" width="10" style="1" bestFit="1" customWidth="1"/>
    <col min="4" max="4" width="15" style="5" bestFit="1" customWidth="1"/>
    <col min="5" max="5" width="12.81640625" style="5" customWidth="1"/>
    <col min="6" max="6" width="14" style="5" bestFit="1" customWidth="1"/>
    <col min="7" max="7" width="14" style="5" customWidth="1"/>
    <col min="8" max="8" width="14.453125" style="1" bestFit="1" customWidth="1"/>
    <col min="9" max="9" width="11.6328125" style="1" bestFit="1" customWidth="1"/>
    <col min="10" max="10" width="11.6328125" style="1" customWidth="1"/>
    <col min="11" max="11" width="13.36328125" style="5" bestFit="1" customWidth="1"/>
    <col min="12" max="12" width="17.26953125" style="1" customWidth="1"/>
    <col min="13" max="13" width="17.54296875" style="1" bestFit="1" customWidth="1"/>
    <col min="14" max="14" width="18.54296875" style="1" bestFit="1" customWidth="1"/>
    <col min="15" max="15" width="15.26953125" style="1" bestFit="1" customWidth="1"/>
    <col min="16" max="16" width="14.453125" style="1" bestFit="1" customWidth="1"/>
    <col min="17" max="17" width="11.81640625" style="1" bestFit="1" customWidth="1"/>
    <col min="18" max="18" width="15.54296875" style="1" bestFit="1" customWidth="1"/>
    <col min="19" max="19" width="8.7265625" style="1"/>
  </cols>
  <sheetData>
    <row r="2" spans="3:18" x14ac:dyDescent="0.35">
      <c r="D2" s="5" t="s">
        <v>8</v>
      </c>
      <c r="F2" s="5" t="s">
        <v>7</v>
      </c>
      <c r="H2" s="1" t="s">
        <v>9</v>
      </c>
      <c r="R2" s="9" t="s">
        <v>19</v>
      </c>
    </row>
    <row r="3" spans="3:18" x14ac:dyDescent="0.35">
      <c r="R3" s="10">
        <f>2000/1051</f>
        <v>1.9029495718363463</v>
      </c>
    </row>
    <row r="4" spans="3:18" x14ac:dyDescent="0.35">
      <c r="D4" s="8" t="s">
        <v>4</v>
      </c>
      <c r="E4" s="8" t="s">
        <v>6</v>
      </c>
      <c r="F4" s="8" t="s">
        <v>5</v>
      </c>
      <c r="G4" s="8" t="s">
        <v>12</v>
      </c>
      <c r="O4" s="1" t="s">
        <v>22</v>
      </c>
      <c r="P4" s="1" t="s">
        <v>9</v>
      </c>
    </row>
    <row r="5" spans="3:18" x14ac:dyDescent="0.35">
      <c r="C5" s="4" t="s">
        <v>0</v>
      </c>
      <c r="D5" s="6" t="s">
        <v>11</v>
      </c>
      <c r="E5" s="6" t="s">
        <v>14</v>
      </c>
      <c r="F5" s="6" t="s">
        <v>13</v>
      </c>
      <c r="G5" s="6" t="s">
        <v>10</v>
      </c>
      <c r="H5" s="4" t="s">
        <v>1</v>
      </c>
      <c r="I5" s="4" t="s">
        <v>2</v>
      </c>
      <c r="J5" s="4"/>
      <c r="K5" s="6" t="s">
        <v>3</v>
      </c>
      <c r="L5" s="4" t="s">
        <v>20</v>
      </c>
      <c r="M5" s="4" t="s">
        <v>21</v>
      </c>
      <c r="N5" s="4" t="s">
        <v>15</v>
      </c>
      <c r="O5" s="4" t="s">
        <v>16</v>
      </c>
      <c r="P5" s="4" t="s">
        <v>17</v>
      </c>
      <c r="Q5" s="4" t="s">
        <v>18</v>
      </c>
    </row>
    <row r="6" spans="3:18" x14ac:dyDescent="0.35">
      <c r="C6" s="3">
        <v>-10</v>
      </c>
      <c r="D6" s="7">
        <v>2.2421000000000002</v>
      </c>
      <c r="E6" s="7">
        <v>2.2543000000000002</v>
      </c>
      <c r="F6" s="7">
        <v>2.4944000000000002</v>
      </c>
      <c r="G6" s="7">
        <v>2.4944000000000002</v>
      </c>
      <c r="H6" s="7">
        <f>E6-G6</f>
        <v>-0.24009999999999998</v>
      </c>
      <c r="I6" s="3">
        <v>-0.5</v>
      </c>
      <c r="J6" s="3">
        <f>1.902949572*H6</f>
        <v>-0.45689819223719996</v>
      </c>
      <c r="K6" s="7">
        <v>-0.48010000000000003</v>
      </c>
      <c r="L6" s="7">
        <f>I6-K6</f>
        <v>-1.9899999999999973E-2</v>
      </c>
      <c r="M6" s="3">
        <f>(L6/I6)*100</f>
        <v>3.9799999999999947</v>
      </c>
      <c r="N6" s="7">
        <f>((2*(D6-G6)  - I6)/I6) * 100</f>
        <v>0.91999999999998749</v>
      </c>
      <c r="O6" s="7">
        <f>D6-F6</f>
        <v>-0.25229999999999997</v>
      </c>
      <c r="P6" s="7">
        <f>E6-G6</f>
        <v>-0.24009999999999998</v>
      </c>
      <c r="Q6" s="3">
        <f>O6/P6</f>
        <v>1.0508121615993335</v>
      </c>
    </row>
    <row r="7" spans="3:18" x14ac:dyDescent="0.35">
      <c r="C7" s="3">
        <v>-9</v>
      </c>
      <c r="D7" s="7">
        <v>2.2671000000000001</v>
      </c>
      <c r="E7" s="7">
        <v>2.2782</v>
      </c>
      <c r="F7" s="7">
        <v>2.4944000000000002</v>
      </c>
      <c r="G7" s="7">
        <v>2.4944000000000002</v>
      </c>
      <c r="H7" s="7">
        <f t="shared" ref="H7:H26" si="0">E7-G7</f>
        <v>-0.21620000000000017</v>
      </c>
      <c r="I7" s="3">
        <v>-0.45</v>
      </c>
      <c r="J7" s="3">
        <f t="shared" ref="J7:J26" si="1">1.902949572*H7</f>
        <v>-0.41141769746640033</v>
      </c>
      <c r="K7" s="7">
        <v>-0.4325</v>
      </c>
      <c r="L7" s="7">
        <f t="shared" ref="L7:L26" si="2">I7-K7</f>
        <v>-1.7500000000000016E-2</v>
      </c>
      <c r="M7" s="3">
        <f t="shared" ref="M7:M26" si="3">(L7/I7)*100</f>
        <v>3.8888888888888924</v>
      </c>
      <c r="N7" s="7">
        <f t="shared" ref="N7:N26" si="4">((2*(D7-G7)  - I7)/I7) * 100</f>
        <v>1.0222222222222455</v>
      </c>
      <c r="O7" s="7">
        <f t="shared" ref="O7:O26" si="5">D7-F7</f>
        <v>-0.22730000000000006</v>
      </c>
      <c r="P7" s="7">
        <f t="shared" ref="P7:P26" si="6">E7-G7</f>
        <v>-0.21620000000000017</v>
      </c>
      <c r="Q7" s="3">
        <f t="shared" ref="Q7:Q26" si="7">O7/P7</f>
        <v>1.0513413506012945</v>
      </c>
    </row>
    <row r="8" spans="3:18" x14ac:dyDescent="0.35">
      <c r="C8" s="3">
        <v>-8</v>
      </c>
      <c r="D8" s="7">
        <v>2.2921999999999998</v>
      </c>
      <c r="E8" s="7">
        <v>2.302</v>
      </c>
      <c r="F8" s="7">
        <v>2.4944000000000002</v>
      </c>
      <c r="G8" s="7">
        <v>2.4944000000000002</v>
      </c>
      <c r="H8" s="7">
        <f t="shared" si="0"/>
        <v>-0.19240000000000013</v>
      </c>
      <c r="I8" s="3">
        <v>-0.4</v>
      </c>
      <c r="J8" s="3">
        <f t="shared" si="1"/>
        <v>-0.36612749765280023</v>
      </c>
      <c r="K8" s="7">
        <v>-0.38500000000000001</v>
      </c>
      <c r="L8" s="7">
        <f t="shared" si="2"/>
        <v>-1.5000000000000013E-2</v>
      </c>
      <c r="M8" s="3">
        <f t="shared" si="3"/>
        <v>3.7500000000000036</v>
      </c>
      <c r="N8" s="7">
        <f t="shared" si="4"/>
        <v>1.1000000000001842</v>
      </c>
      <c r="O8" s="7">
        <f t="shared" si="5"/>
        <v>-0.20220000000000038</v>
      </c>
      <c r="P8" s="7">
        <f t="shared" si="6"/>
        <v>-0.19240000000000013</v>
      </c>
      <c r="Q8" s="3">
        <f t="shared" si="7"/>
        <v>1.0509355509355522</v>
      </c>
    </row>
    <row r="9" spans="3:18" x14ac:dyDescent="0.35">
      <c r="C9" s="3">
        <v>-7</v>
      </c>
      <c r="D9" s="7">
        <v>2.3172000000000001</v>
      </c>
      <c r="E9" s="7">
        <v>2.3256999999999999</v>
      </c>
      <c r="F9" s="7">
        <v>2.4944000000000002</v>
      </c>
      <c r="G9" s="7">
        <v>2.4944000000000002</v>
      </c>
      <c r="H9" s="7">
        <f t="shared" si="0"/>
        <v>-0.16870000000000029</v>
      </c>
      <c r="I9" s="3">
        <v>-0.35</v>
      </c>
      <c r="J9" s="3">
        <f t="shared" si="1"/>
        <v>-0.32102759279640058</v>
      </c>
      <c r="K9" s="7">
        <v>-0.33750000000000002</v>
      </c>
      <c r="L9" s="7">
        <f t="shared" si="2"/>
        <v>-1.2499999999999956E-2</v>
      </c>
      <c r="M9" s="3">
        <f t="shared" si="3"/>
        <v>3.5714285714285587</v>
      </c>
      <c r="N9" s="7">
        <f t="shared" si="4"/>
        <v>1.2571428571428773</v>
      </c>
      <c r="O9" s="7">
        <f t="shared" si="5"/>
        <v>-0.17720000000000002</v>
      </c>
      <c r="P9" s="7">
        <f t="shared" si="6"/>
        <v>-0.16870000000000029</v>
      </c>
      <c r="Q9" s="3">
        <f t="shared" si="7"/>
        <v>1.0503852993479532</v>
      </c>
    </row>
    <row r="10" spans="3:18" x14ac:dyDescent="0.35">
      <c r="C10" s="3">
        <v>-6</v>
      </c>
      <c r="D10" s="7">
        <v>2.3420000000000001</v>
      </c>
      <c r="E10" s="7">
        <v>2.3494999999999999</v>
      </c>
      <c r="F10" s="7">
        <v>2.4943</v>
      </c>
      <c r="G10" s="7">
        <v>2.4943</v>
      </c>
      <c r="H10" s="7">
        <f t="shared" si="0"/>
        <v>-0.14480000000000004</v>
      </c>
      <c r="I10" s="3">
        <v>-0.3</v>
      </c>
      <c r="J10" s="3">
        <f t="shared" si="1"/>
        <v>-0.27554709802560007</v>
      </c>
      <c r="K10" s="7">
        <v>-0.28970000000000001</v>
      </c>
      <c r="L10" s="7">
        <f t="shared" si="2"/>
        <v>-1.0299999999999976E-2</v>
      </c>
      <c r="M10" s="3">
        <f t="shared" si="3"/>
        <v>3.4333333333333256</v>
      </c>
      <c r="N10" s="7">
        <f t="shared" si="4"/>
        <v>1.5333333333332571</v>
      </c>
      <c r="O10" s="7">
        <f t="shared" si="5"/>
        <v>-0.15229999999999988</v>
      </c>
      <c r="P10" s="7">
        <f t="shared" si="6"/>
        <v>-0.14480000000000004</v>
      </c>
      <c r="Q10" s="3">
        <f t="shared" si="7"/>
        <v>1.0517955801104961</v>
      </c>
    </row>
    <row r="11" spans="3:18" x14ac:dyDescent="0.35">
      <c r="C11" s="3">
        <v>-5</v>
      </c>
      <c r="D11" s="7">
        <v>2.367</v>
      </c>
      <c r="E11" s="7">
        <v>2.3732000000000002</v>
      </c>
      <c r="F11" s="7">
        <v>2.4943</v>
      </c>
      <c r="G11" s="7">
        <v>2.4943</v>
      </c>
      <c r="H11" s="7">
        <f t="shared" si="0"/>
        <v>-0.12109999999999976</v>
      </c>
      <c r="I11" s="3">
        <v>-0.25</v>
      </c>
      <c r="J11" s="3">
        <f t="shared" si="1"/>
        <v>-0.23044719316919957</v>
      </c>
      <c r="K11" s="7">
        <v>-0.24229999999999999</v>
      </c>
      <c r="L11" s="7">
        <f t="shared" si="2"/>
        <v>-7.7000000000000124E-3</v>
      </c>
      <c r="M11" s="3">
        <f t="shared" si="3"/>
        <v>3.080000000000005</v>
      </c>
      <c r="N11" s="7">
        <f t="shared" si="4"/>
        <v>1.839999999999975</v>
      </c>
      <c r="O11" s="7">
        <f t="shared" si="5"/>
        <v>-0.12729999999999997</v>
      </c>
      <c r="P11" s="7">
        <f t="shared" si="6"/>
        <v>-0.12109999999999976</v>
      </c>
      <c r="Q11" s="3">
        <f t="shared" si="7"/>
        <v>1.051197357555741</v>
      </c>
    </row>
    <row r="12" spans="3:18" x14ac:dyDescent="0.35">
      <c r="C12" s="3">
        <v>-4</v>
      </c>
      <c r="D12" s="7">
        <v>2.3921000000000001</v>
      </c>
      <c r="E12" s="7">
        <v>2.3971</v>
      </c>
      <c r="F12" s="7">
        <v>2.4943</v>
      </c>
      <c r="G12" s="7">
        <v>2.4943</v>
      </c>
      <c r="H12" s="7">
        <f t="shared" si="0"/>
        <v>-9.7199999999999953E-2</v>
      </c>
      <c r="I12" s="3">
        <v>-0.2</v>
      </c>
      <c r="J12" s="3">
        <f t="shared" si="1"/>
        <v>-0.18496669839839991</v>
      </c>
      <c r="K12" s="7">
        <v>-0.19470000000000001</v>
      </c>
      <c r="L12" s="7">
        <f t="shared" si="2"/>
        <v>-5.2999999999999992E-3</v>
      </c>
      <c r="M12" s="3">
        <f t="shared" si="3"/>
        <v>2.6499999999999995</v>
      </c>
      <c r="N12" s="7">
        <f t="shared" si="4"/>
        <v>2.1999999999998412</v>
      </c>
      <c r="O12" s="7">
        <f t="shared" si="5"/>
        <v>-0.10219999999999985</v>
      </c>
      <c r="P12" s="7">
        <f t="shared" si="6"/>
        <v>-9.7199999999999953E-2</v>
      </c>
      <c r="Q12" s="3">
        <f t="shared" si="7"/>
        <v>1.0514403292181058</v>
      </c>
    </row>
    <row r="13" spans="3:18" x14ac:dyDescent="0.35">
      <c r="C13" s="3">
        <v>-3</v>
      </c>
      <c r="D13" s="7">
        <v>2.4169999999999998</v>
      </c>
      <c r="E13" s="7">
        <v>2.4207999999999998</v>
      </c>
      <c r="F13" s="7">
        <v>2.4942000000000002</v>
      </c>
      <c r="G13" s="7">
        <v>2.4942000000000002</v>
      </c>
      <c r="H13" s="7">
        <f t="shared" si="0"/>
        <v>-7.3400000000000354E-2</v>
      </c>
      <c r="I13" s="3">
        <v>-0.15</v>
      </c>
      <c r="J13" s="3">
        <f t="shared" si="1"/>
        <v>-0.13967649858480066</v>
      </c>
      <c r="K13" s="7">
        <v>-0.14710000000000001</v>
      </c>
      <c r="L13" s="7">
        <f t="shared" si="2"/>
        <v>-2.8999999999999859E-3</v>
      </c>
      <c r="M13" s="3">
        <f t="shared" si="3"/>
        <v>1.933333333333324</v>
      </c>
      <c r="N13" s="7">
        <f t="shared" si="4"/>
        <v>2.9333333333338429</v>
      </c>
      <c r="O13" s="7">
        <f t="shared" si="5"/>
        <v>-7.7200000000000379E-2</v>
      </c>
      <c r="P13" s="7">
        <f t="shared" si="6"/>
        <v>-7.3400000000000354E-2</v>
      </c>
      <c r="Q13" s="3">
        <f t="shared" si="7"/>
        <v>1.0517711171662127</v>
      </c>
    </row>
    <row r="14" spans="3:18" x14ac:dyDescent="0.35">
      <c r="C14" s="3">
        <v>-2</v>
      </c>
      <c r="D14" s="7">
        <v>2.4420000000000002</v>
      </c>
      <c r="E14" s="7">
        <v>2.4445000000000001</v>
      </c>
      <c r="F14" s="7">
        <v>2.4943</v>
      </c>
      <c r="G14" s="7">
        <v>2.4942000000000002</v>
      </c>
      <c r="H14" s="7">
        <f t="shared" si="0"/>
        <v>-4.9700000000000077E-2</v>
      </c>
      <c r="I14" s="3">
        <v>-0.1</v>
      </c>
      <c r="J14" s="3">
        <f t="shared" si="1"/>
        <v>-9.4576593728400146E-2</v>
      </c>
      <c r="K14" s="7">
        <v>-9.9599999999999994E-2</v>
      </c>
      <c r="L14" s="7">
        <f t="shared" si="2"/>
        <v>-4.0000000000001146E-4</v>
      </c>
      <c r="M14" s="3">
        <f t="shared" si="3"/>
        <v>0.40000000000001146</v>
      </c>
      <c r="N14" s="7">
        <f t="shared" si="4"/>
        <v>4.400000000000043</v>
      </c>
      <c r="O14" s="7">
        <f t="shared" si="5"/>
        <v>-5.2299999999999791E-2</v>
      </c>
      <c r="P14" s="7">
        <f t="shared" si="6"/>
        <v>-4.9700000000000077E-2</v>
      </c>
      <c r="Q14" s="3">
        <f t="shared" si="7"/>
        <v>1.0523138832997929</v>
      </c>
    </row>
    <row r="15" spans="3:18" x14ac:dyDescent="0.35">
      <c r="C15" s="3">
        <v>-1</v>
      </c>
      <c r="D15" s="7">
        <v>2.4672000000000001</v>
      </c>
      <c r="E15" s="7">
        <v>2.4683999999999999</v>
      </c>
      <c r="F15" s="7">
        <v>2.4942000000000002</v>
      </c>
      <c r="G15" s="7">
        <v>2.4942000000000002</v>
      </c>
      <c r="H15" s="7">
        <f t="shared" si="0"/>
        <v>-2.5800000000000267E-2</v>
      </c>
      <c r="I15" s="3">
        <v>-0.05</v>
      </c>
      <c r="J15" s="3">
        <f t="shared" si="1"/>
        <v>-4.9096098957600511E-2</v>
      </c>
      <c r="K15" s="7">
        <v>-5.1799999999999999E-2</v>
      </c>
      <c r="L15" s="7">
        <f t="shared" si="2"/>
        <v>1.799999999999996E-3</v>
      </c>
      <c r="M15" s="3">
        <f t="shared" si="3"/>
        <v>-3.5999999999999921</v>
      </c>
      <c r="N15" s="7">
        <f t="shared" si="4"/>
        <v>8.0000000000005347</v>
      </c>
      <c r="O15" s="7">
        <f t="shared" si="5"/>
        <v>-2.7000000000000135E-2</v>
      </c>
      <c r="P15" s="7">
        <f t="shared" si="6"/>
        <v>-2.5800000000000267E-2</v>
      </c>
      <c r="Q15" s="3">
        <f t="shared" si="7"/>
        <v>1.0465116279069711</v>
      </c>
    </row>
    <row r="16" spans="3:18" x14ac:dyDescent="0.35">
      <c r="C16" s="3">
        <v>0</v>
      </c>
      <c r="D16" s="7">
        <v>2.4918999999999998</v>
      </c>
      <c r="E16" s="7">
        <v>2.492</v>
      </c>
      <c r="F16" s="7">
        <v>2.4942000000000002</v>
      </c>
      <c r="G16" s="7">
        <v>2.4942000000000002</v>
      </c>
      <c r="H16" s="7">
        <f t="shared" si="0"/>
        <v>-2.2000000000002018E-3</v>
      </c>
      <c r="I16" s="3">
        <v>0</v>
      </c>
      <c r="J16" s="3">
        <f t="shared" si="1"/>
        <v>-4.1864890584003842E-3</v>
      </c>
      <c r="K16" s="7">
        <v>4.3E-3</v>
      </c>
      <c r="L16" s="7">
        <f t="shared" si="2"/>
        <v>-4.3E-3</v>
      </c>
      <c r="M16" s="3" t="e">
        <f t="shared" si="3"/>
        <v>#DIV/0!</v>
      </c>
      <c r="N16" s="7" t="e">
        <f t="shared" si="4"/>
        <v>#DIV/0!</v>
      </c>
      <c r="O16" s="7">
        <f t="shared" si="5"/>
        <v>-2.3000000000004128E-3</v>
      </c>
      <c r="P16" s="7">
        <f t="shared" si="6"/>
        <v>-2.2000000000002018E-3</v>
      </c>
      <c r="Q16" s="3">
        <f t="shared" si="7"/>
        <v>1.0454545454546371</v>
      </c>
    </row>
    <row r="17" spans="3:17" x14ac:dyDescent="0.35">
      <c r="C17" s="3">
        <v>1</v>
      </c>
      <c r="D17" s="7">
        <v>2.5169000000000001</v>
      </c>
      <c r="E17" s="7">
        <v>2.5158999999999998</v>
      </c>
      <c r="F17" s="7">
        <v>2.4943</v>
      </c>
      <c r="G17" s="7">
        <v>2.4942000000000002</v>
      </c>
      <c r="H17" s="7">
        <f t="shared" si="0"/>
        <v>2.1699999999999608E-2</v>
      </c>
      <c r="I17" s="3">
        <v>0.05</v>
      </c>
      <c r="J17" s="3">
        <f t="shared" si="1"/>
        <v>4.1294005712399252E-2</v>
      </c>
      <c r="K17" s="7">
        <v>4.3099999999999999E-2</v>
      </c>
      <c r="L17" s="7">
        <f t="shared" si="2"/>
        <v>6.9000000000000034E-3</v>
      </c>
      <c r="M17" s="3">
        <f t="shared" si="3"/>
        <v>13.800000000000006</v>
      </c>
      <c r="N17" s="7">
        <f t="shared" si="4"/>
        <v>-9.2000000000002355</v>
      </c>
      <c r="O17" s="7">
        <f t="shared" si="5"/>
        <v>2.2600000000000176E-2</v>
      </c>
      <c r="P17" s="7">
        <f t="shared" si="6"/>
        <v>2.1699999999999608E-2</v>
      </c>
      <c r="Q17" s="3">
        <f t="shared" si="7"/>
        <v>1.041474654377907</v>
      </c>
    </row>
    <row r="18" spans="3:17" x14ac:dyDescent="0.35">
      <c r="C18" s="3">
        <v>2</v>
      </c>
      <c r="D18" s="7">
        <v>2.5421</v>
      </c>
      <c r="E18" s="7">
        <v>2.5396999999999998</v>
      </c>
      <c r="F18" s="7">
        <v>2.4942000000000002</v>
      </c>
      <c r="G18" s="7">
        <v>2.4942000000000002</v>
      </c>
      <c r="H18" s="7">
        <f t="shared" si="0"/>
        <v>4.5499999999999652E-2</v>
      </c>
      <c r="I18" s="3">
        <v>0.1</v>
      </c>
      <c r="J18" s="3">
        <f t="shared" si="1"/>
        <v>8.6584205525999339E-2</v>
      </c>
      <c r="K18" s="7">
        <v>9.0800000000000006E-2</v>
      </c>
      <c r="L18" s="7">
        <f t="shared" si="2"/>
        <v>9.1999999999999998E-3</v>
      </c>
      <c r="M18" s="3">
        <f t="shared" si="3"/>
        <v>9.1999999999999993</v>
      </c>
      <c r="N18" s="7">
        <f t="shared" si="4"/>
        <v>-4.2000000000003421</v>
      </c>
      <c r="O18" s="7">
        <f t="shared" si="5"/>
        <v>4.7899999999999832E-2</v>
      </c>
      <c r="P18" s="7">
        <f t="shared" si="6"/>
        <v>4.5499999999999652E-2</v>
      </c>
      <c r="Q18" s="3">
        <f t="shared" si="7"/>
        <v>1.052747252747257</v>
      </c>
    </row>
    <row r="19" spans="3:17" x14ac:dyDescent="0.35">
      <c r="C19" s="3">
        <v>3</v>
      </c>
      <c r="D19" s="7">
        <v>2.5670999999999999</v>
      </c>
      <c r="E19" s="7">
        <v>2.5634999999999999</v>
      </c>
      <c r="F19" s="7">
        <v>2.4942000000000002</v>
      </c>
      <c r="G19" s="7">
        <v>2.4942000000000002</v>
      </c>
      <c r="H19" s="7">
        <f t="shared" si="0"/>
        <v>6.9299999999999695E-2</v>
      </c>
      <c r="I19" s="3">
        <v>0.15</v>
      </c>
      <c r="J19" s="3">
        <f t="shared" si="1"/>
        <v>0.13187440533959943</v>
      </c>
      <c r="K19" s="7">
        <v>0.13850000000000001</v>
      </c>
      <c r="L19" s="7">
        <f t="shared" si="2"/>
        <v>1.1499999999999982E-2</v>
      </c>
      <c r="M19" s="3">
        <f t="shared" si="3"/>
        <v>7.6666666666666554</v>
      </c>
      <c r="N19" s="7">
        <f t="shared" si="4"/>
        <v>-2.8000000000003396</v>
      </c>
      <c r="O19" s="7">
        <f t="shared" si="5"/>
        <v>7.2899999999999743E-2</v>
      </c>
      <c r="P19" s="7">
        <f t="shared" si="6"/>
        <v>6.9299999999999695E-2</v>
      </c>
      <c r="Q19" s="3">
        <f t="shared" si="7"/>
        <v>1.0519480519480529</v>
      </c>
    </row>
    <row r="20" spans="3:17" x14ac:dyDescent="0.35">
      <c r="C20" s="3">
        <v>4</v>
      </c>
      <c r="D20" s="7">
        <v>2.5920999999999998</v>
      </c>
      <c r="E20" s="7">
        <v>2.5872999999999999</v>
      </c>
      <c r="F20" s="7">
        <v>2.4943</v>
      </c>
      <c r="G20" s="7">
        <v>2.4943</v>
      </c>
      <c r="H20" s="7">
        <f t="shared" si="0"/>
        <v>9.2999999999999972E-2</v>
      </c>
      <c r="I20" s="3">
        <v>0.2</v>
      </c>
      <c r="J20" s="3">
        <f t="shared" si="1"/>
        <v>0.17697431019599996</v>
      </c>
      <c r="K20" s="7">
        <v>0.18590000000000001</v>
      </c>
      <c r="L20" s="7">
        <f t="shared" si="2"/>
        <v>1.4100000000000001E-2</v>
      </c>
      <c r="M20" s="3">
        <f t="shared" si="3"/>
        <v>7.0500000000000007</v>
      </c>
      <c r="N20" s="7">
        <f t="shared" si="4"/>
        <v>-2.2000000000001183</v>
      </c>
      <c r="O20" s="7">
        <f t="shared" si="5"/>
        <v>9.7799999999999887E-2</v>
      </c>
      <c r="P20" s="7">
        <f t="shared" si="6"/>
        <v>9.2999999999999972E-2</v>
      </c>
      <c r="Q20" s="3">
        <f t="shared" si="7"/>
        <v>1.0516129032258055</v>
      </c>
    </row>
    <row r="21" spans="3:17" x14ac:dyDescent="0.35">
      <c r="C21" s="3">
        <v>5</v>
      </c>
      <c r="D21" s="7">
        <v>2.617</v>
      </c>
      <c r="E21" s="7">
        <v>2.6111</v>
      </c>
      <c r="F21" s="7">
        <v>2.4943</v>
      </c>
      <c r="G21" s="7">
        <v>2.4943</v>
      </c>
      <c r="H21" s="7">
        <f t="shared" si="0"/>
        <v>0.11680000000000001</v>
      </c>
      <c r="I21" s="3">
        <v>0.25</v>
      </c>
      <c r="J21" s="3">
        <f t="shared" si="1"/>
        <v>0.22226451000960004</v>
      </c>
      <c r="K21" s="7">
        <v>0.23350000000000001</v>
      </c>
      <c r="L21" s="7">
        <f t="shared" si="2"/>
        <v>1.6499999999999987E-2</v>
      </c>
      <c r="M21" s="3">
        <f t="shared" si="3"/>
        <v>6.5999999999999943</v>
      </c>
      <c r="N21" s="7">
        <f t="shared" si="4"/>
        <v>-1.839999999999975</v>
      </c>
      <c r="O21" s="7">
        <f t="shared" si="5"/>
        <v>0.12270000000000003</v>
      </c>
      <c r="P21" s="7">
        <f t="shared" si="6"/>
        <v>0.11680000000000001</v>
      </c>
      <c r="Q21" s="3">
        <f t="shared" si="7"/>
        <v>1.0505136986301371</v>
      </c>
    </row>
    <row r="22" spans="3:17" x14ac:dyDescent="0.35">
      <c r="C22" s="3">
        <v>6</v>
      </c>
      <c r="D22" s="7">
        <v>2.6421999999999999</v>
      </c>
      <c r="E22" s="7">
        <v>2.6349999999999998</v>
      </c>
      <c r="F22" s="7">
        <v>2.4943</v>
      </c>
      <c r="G22" s="7">
        <v>2.4943</v>
      </c>
      <c r="H22" s="7">
        <f t="shared" si="0"/>
        <v>0.14069999999999983</v>
      </c>
      <c r="I22" s="3">
        <v>0.3</v>
      </c>
      <c r="J22" s="3">
        <f t="shared" si="1"/>
        <v>0.2677450047803997</v>
      </c>
      <c r="K22" s="7">
        <v>0.28120000000000001</v>
      </c>
      <c r="L22" s="7">
        <f t="shared" si="2"/>
        <v>1.8799999999999983E-2</v>
      </c>
      <c r="M22" s="3">
        <f t="shared" si="3"/>
        <v>6.2666666666666622</v>
      </c>
      <c r="N22" s="7">
        <f t="shared" si="4"/>
        <v>-1.4000000000000494</v>
      </c>
      <c r="O22" s="7">
        <f t="shared" si="5"/>
        <v>0.14789999999999992</v>
      </c>
      <c r="P22" s="7">
        <f t="shared" si="6"/>
        <v>0.14069999999999983</v>
      </c>
      <c r="Q22" s="3">
        <f t="shared" si="7"/>
        <v>1.0511727078891266</v>
      </c>
    </row>
    <row r="23" spans="3:17" x14ac:dyDescent="0.35">
      <c r="C23" s="3">
        <v>7</v>
      </c>
      <c r="D23" s="7">
        <v>2.6671999999999998</v>
      </c>
      <c r="E23" s="7">
        <v>2.6587999999999998</v>
      </c>
      <c r="F23" s="7">
        <v>2.4943</v>
      </c>
      <c r="G23" s="7">
        <v>2.4943</v>
      </c>
      <c r="H23" s="7">
        <f t="shared" si="0"/>
        <v>0.16449999999999987</v>
      </c>
      <c r="I23" s="3">
        <v>0.35</v>
      </c>
      <c r="J23" s="3">
        <f t="shared" si="1"/>
        <v>0.31303520459399975</v>
      </c>
      <c r="K23" s="7">
        <v>0.32869999999999999</v>
      </c>
      <c r="L23" s="7">
        <f t="shared" si="2"/>
        <v>2.1299999999999986E-2</v>
      </c>
      <c r="M23" s="3">
        <f t="shared" si="3"/>
        <v>6.0857142857142819</v>
      </c>
      <c r="N23" s="7">
        <f t="shared" si="4"/>
        <v>-1.2000000000000899</v>
      </c>
      <c r="O23" s="7">
        <f t="shared" si="5"/>
        <v>0.17289999999999983</v>
      </c>
      <c r="P23" s="7">
        <f t="shared" si="6"/>
        <v>0.16449999999999987</v>
      </c>
      <c r="Q23" s="3">
        <f t="shared" si="7"/>
        <v>1.0510638297872339</v>
      </c>
    </row>
    <row r="24" spans="3:17" x14ac:dyDescent="0.35">
      <c r="C24" s="3">
        <v>8</v>
      </c>
      <c r="D24" s="7">
        <v>2.6920999999999999</v>
      </c>
      <c r="E24" s="7">
        <v>2.6825000000000001</v>
      </c>
      <c r="F24" s="7">
        <v>2.4944000000000002</v>
      </c>
      <c r="G24" s="7">
        <v>2.4944000000000002</v>
      </c>
      <c r="H24" s="7">
        <f t="shared" si="0"/>
        <v>0.18809999999999993</v>
      </c>
      <c r="I24" s="3">
        <v>0.4</v>
      </c>
      <c r="J24" s="3">
        <f t="shared" si="1"/>
        <v>0.35794481449319987</v>
      </c>
      <c r="K24" s="7">
        <v>0.37630000000000002</v>
      </c>
      <c r="L24" s="7">
        <f t="shared" si="2"/>
        <v>2.3699999999999999E-2</v>
      </c>
      <c r="M24" s="3">
        <f t="shared" si="3"/>
        <v>5.9249999999999998</v>
      </c>
      <c r="N24" s="7">
        <f t="shared" si="4"/>
        <v>-1.1500000000001231</v>
      </c>
      <c r="O24" s="7">
        <f t="shared" si="5"/>
        <v>0.19769999999999976</v>
      </c>
      <c r="P24" s="7">
        <f t="shared" si="6"/>
        <v>0.18809999999999993</v>
      </c>
      <c r="Q24" s="3">
        <f t="shared" si="7"/>
        <v>1.051036682615629</v>
      </c>
    </row>
    <row r="25" spans="3:17" x14ac:dyDescent="0.35">
      <c r="C25" s="3">
        <v>9</v>
      </c>
      <c r="D25" s="7">
        <v>2.7172999999999998</v>
      </c>
      <c r="E25" s="7">
        <v>2.7063999999999999</v>
      </c>
      <c r="F25" s="7">
        <v>2.4944000000000002</v>
      </c>
      <c r="G25" s="7">
        <v>2.4944000000000002</v>
      </c>
      <c r="H25" s="7">
        <f t="shared" si="0"/>
        <v>0.21199999999999974</v>
      </c>
      <c r="I25" s="3">
        <v>0.45</v>
      </c>
      <c r="J25" s="3">
        <f t="shared" si="1"/>
        <v>0.4034253092639995</v>
      </c>
      <c r="K25" s="7">
        <v>0.4239</v>
      </c>
      <c r="L25" s="7">
        <f t="shared" si="2"/>
        <v>2.6100000000000012E-2</v>
      </c>
      <c r="M25" s="3">
        <f t="shared" si="3"/>
        <v>5.8000000000000025</v>
      </c>
      <c r="N25" s="7">
        <f t="shared" si="4"/>
        <v>-0.93333333333348956</v>
      </c>
      <c r="O25" s="7">
        <f t="shared" si="5"/>
        <v>0.22289999999999965</v>
      </c>
      <c r="P25" s="7">
        <f t="shared" si="6"/>
        <v>0.21199999999999974</v>
      </c>
      <c r="Q25" s="3">
        <f t="shared" si="7"/>
        <v>1.0514150943396223</v>
      </c>
    </row>
    <row r="26" spans="3:17" x14ac:dyDescent="0.35">
      <c r="C26" s="3">
        <v>10</v>
      </c>
      <c r="D26" s="7">
        <v>2.7421000000000002</v>
      </c>
      <c r="E26" s="7">
        <v>2.7302</v>
      </c>
      <c r="F26" s="7">
        <v>2.4944000000000002</v>
      </c>
      <c r="G26" s="7">
        <v>2.4944000000000002</v>
      </c>
      <c r="H26" s="7">
        <f t="shared" si="0"/>
        <v>0.23579999999999979</v>
      </c>
      <c r="I26" s="3">
        <v>0.5</v>
      </c>
      <c r="J26" s="3">
        <f t="shared" si="1"/>
        <v>0.44871550907759961</v>
      </c>
      <c r="K26" s="7">
        <v>0.47149999999999997</v>
      </c>
      <c r="L26" s="7">
        <f t="shared" si="2"/>
        <v>2.8500000000000025E-2</v>
      </c>
      <c r="M26" s="3">
        <f t="shared" si="3"/>
        <v>5.7000000000000046</v>
      </c>
      <c r="N26" s="7">
        <f t="shared" si="4"/>
        <v>-0.91999999999998749</v>
      </c>
      <c r="O26" s="7">
        <f t="shared" si="5"/>
        <v>0.24770000000000003</v>
      </c>
      <c r="P26" s="7">
        <f t="shared" si="6"/>
        <v>0.23579999999999979</v>
      </c>
      <c r="Q26" s="3">
        <f t="shared" si="7"/>
        <v>1.0504664970313835</v>
      </c>
    </row>
    <row r="27" spans="3:17" x14ac:dyDescent="0.35">
      <c r="D27" s="11" t="s">
        <v>23</v>
      </c>
      <c r="F27" s="11" t="s">
        <v>24</v>
      </c>
      <c r="H27" s="2"/>
      <c r="I27" s="2"/>
      <c r="J27" s="2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Ilhan Kaan (PSS AIS AMK SAS)</dc:creator>
  <cp:lastModifiedBy>Ilhan Kaan (PSS AIS AMK SAS)</cp:lastModifiedBy>
  <dcterms:created xsi:type="dcterms:W3CDTF">2015-06-05T18:17:20Z</dcterms:created>
  <dcterms:modified xsi:type="dcterms:W3CDTF">2025-01-23T13:21:05Z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2024-12-12T11:00:51Z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76c0e471-fa7e-4d8e-96d4-3f4a384e6c4c</vt:lpwstr>
  </property>
  <property fmtid="{D5CDD505-2E9C-101B-9397-08002B2CF9AE}" pid="8" name="MSIP_Label_a15a25aa-e944-415d-b7a7-40f6b9180b6b_ContentBits">
    <vt:lpwstr>0</vt:lpwstr>
  </property>
</Properties>
</file>