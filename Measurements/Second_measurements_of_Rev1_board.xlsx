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IlhanK\Documents\uz_per_external_current_sensing\Measurements\"/>
    </mc:Choice>
  </mc:AlternateContent>
  <xr:revisionPtr revIDLastSave="0" documentId="13_ncr:1_{97D1685D-8F8B-4750-B1AA-9261D3F218ED}" xr6:coauthVersionLast="47" xr6:coauthVersionMax="47" xr10:uidLastSave="{00000000-0000-0000-0000-000000000000}"/>
  <bookViews>
    <workbookView xWindow="760" yWindow="760" windowWidth="14400" windowHeight="7270" activeTab="1" xr2:uid="{00000000-000D-0000-FFFF-FFFF00000000}"/>
  </bookViews>
  <sheets>
    <sheet name="phase1_with_R5_R2" sheetId="1" r:id="rId1"/>
    <sheet name="phase1_with_0Ohm" sheetId="2" r:id="rId2"/>
    <sheet name="phase2_with_R5_R2" sheetId="3" r:id="rId3"/>
    <sheet name="phase2_with_0Oh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" l="1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I13" i="3"/>
  <c r="J13" i="3" s="1"/>
  <c r="E13" i="3"/>
  <c r="F13" i="3" s="1"/>
  <c r="I12" i="3"/>
  <c r="J12" i="3" s="1"/>
  <c r="E12" i="3"/>
  <c r="F12" i="3" s="1"/>
  <c r="I11" i="3"/>
  <c r="J11" i="3" s="1"/>
  <c r="E11" i="3"/>
  <c r="F11" i="3" s="1"/>
  <c r="I10" i="3"/>
  <c r="J10" i="3" s="1"/>
  <c r="E10" i="3"/>
  <c r="F10" i="3" s="1"/>
  <c r="I9" i="3"/>
  <c r="J9" i="3" s="1"/>
  <c r="E9" i="3"/>
  <c r="F9" i="3" s="1"/>
  <c r="I8" i="3"/>
  <c r="J8" i="3" s="1"/>
  <c r="E8" i="3"/>
  <c r="F8" i="3" s="1"/>
  <c r="I7" i="3"/>
  <c r="J7" i="3" s="1"/>
  <c r="E7" i="3"/>
  <c r="F7" i="3" s="1"/>
  <c r="I6" i="3"/>
  <c r="J6" i="3" s="1"/>
  <c r="E6" i="3"/>
  <c r="F6" i="3" s="1"/>
  <c r="I5" i="3"/>
  <c r="J5" i="3" s="1"/>
  <c r="E5" i="3"/>
  <c r="F5" i="3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6" i="2"/>
  <c r="F6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Q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P6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6" i="1"/>
  <c r="M15" i="1"/>
  <c r="M19" i="1"/>
  <c r="M23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L16" i="1"/>
  <c r="M16" i="1" s="1"/>
  <c r="L17" i="1"/>
  <c r="M17" i="1" s="1"/>
  <c r="L18" i="1"/>
  <c r="M18" i="1" s="1"/>
  <c r="L19" i="1"/>
  <c r="L20" i="1"/>
  <c r="M20" i="1" s="1"/>
  <c r="L21" i="1"/>
  <c r="M21" i="1" s="1"/>
  <c r="L22" i="1"/>
  <c r="M22" i="1" s="1"/>
  <c r="L23" i="1"/>
  <c r="L24" i="1"/>
  <c r="M24" i="1" s="1"/>
  <c r="L25" i="1"/>
  <c r="M25" i="1" s="1"/>
  <c r="L26" i="1"/>
  <c r="M26" i="1" s="1"/>
  <c r="L6" i="1"/>
  <c r="M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6" i="1"/>
  <c r="J6" i="1" s="1"/>
</calcChain>
</file>

<file path=xl/sharedStrings.xml><?xml version="1.0" encoding="utf-8"?>
<sst xmlns="http://schemas.openxmlformats.org/spreadsheetml/2006/main" count="58" uniqueCount="34">
  <si>
    <t>I_IN (A)</t>
  </si>
  <si>
    <t>Vin_diff (V)</t>
  </si>
  <si>
    <t>Vout_soll (V)</t>
  </si>
  <si>
    <t>Vout_meas (V)</t>
  </si>
  <si>
    <t>TP1 (V)</t>
  </si>
  <si>
    <t>TP3 (V)</t>
  </si>
  <si>
    <t>TP2 (V)</t>
  </si>
  <si>
    <t>TP2-TP4</t>
  </si>
  <si>
    <t>VIN-(V)</t>
  </si>
  <si>
    <t>VOUT (V)</t>
  </si>
  <si>
    <t xml:space="preserve">TP4 (V) </t>
  </si>
  <si>
    <t>V_ref (V)</t>
  </si>
  <si>
    <t>VIN+ (V)</t>
  </si>
  <si>
    <t>Deviation w/o R5 (%)</t>
  </si>
  <si>
    <t>Output of Sensor</t>
  </si>
  <si>
    <t>Input of OpAmp</t>
  </si>
  <si>
    <t>Real Gain (w/ R5)</t>
  </si>
  <si>
    <t>Deviation w/ R5 (V)</t>
  </si>
  <si>
    <t>Deviation w/ R5 (%)</t>
  </si>
  <si>
    <t>TP1-TP3</t>
  </si>
  <si>
    <t>8 mV off for all</t>
  </si>
  <si>
    <t>6 mV off for all</t>
  </si>
  <si>
    <t>VOUT ( = VIN+) (V)</t>
  </si>
  <si>
    <t>V_ref (or VIN-) (V)</t>
  </si>
  <si>
    <t>Deviation (V)</t>
  </si>
  <si>
    <t>Deviation R5 (%)</t>
  </si>
  <si>
    <t>R2 and R5 replaced with 0 Ohm</t>
  </si>
  <si>
    <t>Gain*VIN</t>
  </si>
  <si>
    <t>Pin 2 ( V_OCM)</t>
  </si>
  <si>
    <t>I_OUT_P</t>
  </si>
  <si>
    <t>I_OUT_N</t>
  </si>
  <si>
    <t>PHASE2</t>
  </si>
  <si>
    <t>Deviation (%)</t>
  </si>
  <si>
    <t>R2 and R5 stayed as is in schematic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</si>
</sst>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Error (%) vs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364776195981053E-2"/>
          <c:y val="9.1955293989646164E-2"/>
          <c:w val="0.92843394090715936"/>
          <c:h val="0.81809467664525071"/>
        </c:manualLayout>
      </c:layout>
      <c:scatterChart>
        <c:scatterStyle val="lineMarker"/>
        <c:varyColors val="0"/>
        <c:ser>
          <c:idx val="0"/>
          <c:order val="0"/>
          <c:tx>
            <c:v>Error w/ R5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phase1_with_R5_R2!$C$6:$C$26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phase1_with_R5_R2!$M$6:$M$26</c:f>
              <c:numCache>
                <c:formatCode>General</c:formatCode>
                <c:ptCount val="21"/>
                <c:pt idx="0">
                  <c:v>3.9799999999999947</c:v>
                </c:pt>
                <c:pt idx="1">
                  <c:v>3.8888888888888924</c:v>
                </c:pt>
                <c:pt idx="2">
                  <c:v>3.7500000000000036</c:v>
                </c:pt>
                <c:pt idx="3">
                  <c:v>3.5714285714285587</c:v>
                </c:pt>
                <c:pt idx="4">
                  <c:v>3.4333333333333256</c:v>
                </c:pt>
                <c:pt idx="5">
                  <c:v>3.080000000000005</c:v>
                </c:pt>
                <c:pt idx="6">
                  <c:v>2.6499999999999995</c:v>
                </c:pt>
                <c:pt idx="7">
                  <c:v>1.933333333333324</c:v>
                </c:pt>
                <c:pt idx="8">
                  <c:v>0.40000000000001146</c:v>
                </c:pt>
                <c:pt idx="9">
                  <c:v>-3.5999999999999921</c:v>
                </c:pt>
                <c:pt idx="10">
                  <c:v>0</c:v>
                </c:pt>
                <c:pt idx="11">
                  <c:v>13.800000000000006</c:v>
                </c:pt>
                <c:pt idx="12">
                  <c:v>9.1999999999999993</c:v>
                </c:pt>
                <c:pt idx="13">
                  <c:v>7.6666666666666554</c:v>
                </c:pt>
                <c:pt idx="14">
                  <c:v>7.0500000000000007</c:v>
                </c:pt>
                <c:pt idx="15">
                  <c:v>6.5999999999999943</c:v>
                </c:pt>
                <c:pt idx="16">
                  <c:v>6.2666666666666622</c:v>
                </c:pt>
                <c:pt idx="17">
                  <c:v>6.0857142857142819</c:v>
                </c:pt>
                <c:pt idx="18">
                  <c:v>5.9249999999999998</c:v>
                </c:pt>
                <c:pt idx="19">
                  <c:v>5.8000000000000025</c:v>
                </c:pt>
                <c:pt idx="20">
                  <c:v>5.7000000000000046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2-4372-ABF1-28D3AAC63C15}"/>
            </c:ext>
          </c:extLst>
        </c:ser>
        <c:ser>
          <c:idx val="1"/>
          <c:order val="1"/>
          <c:tx>
            <c:v>Error w/o R5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phase1_with_R5_R2!$C$6:$C$26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phase1_with_R5_R2!$N$6:$N$26</c:f>
              <c:numCache>
                <c:formatCode>0.0000</c:formatCode>
                <c:ptCount val="21"/>
                <c:pt idx="0">
                  <c:v>0.91999999999998749</c:v>
                </c:pt>
                <c:pt idx="1">
                  <c:v>1.0222222222222455</c:v>
                </c:pt>
                <c:pt idx="2">
                  <c:v>1.1000000000001842</c:v>
                </c:pt>
                <c:pt idx="3">
                  <c:v>1.2571428571428773</c:v>
                </c:pt>
                <c:pt idx="4">
                  <c:v>1.5333333333332571</c:v>
                </c:pt>
                <c:pt idx="5">
                  <c:v>1.839999999999975</c:v>
                </c:pt>
                <c:pt idx="6">
                  <c:v>2.1999999999998412</c:v>
                </c:pt>
                <c:pt idx="7">
                  <c:v>2.9333333333338429</c:v>
                </c:pt>
                <c:pt idx="8">
                  <c:v>4.400000000000043</c:v>
                </c:pt>
                <c:pt idx="9">
                  <c:v>8.0000000000005347</c:v>
                </c:pt>
                <c:pt idx="10">
                  <c:v>0</c:v>
                </c:pt>
                <c:pt idx="11">
                  <c:v>-9.2000000000002355</c:v>
                </c:pt>
                <c:pt idx="12">
                  <c:v>-4.2000000000003421</c:v>
                </c:pt>
                <c:pt idx="13">
                  <c:v>-2.8000000000003396</c:v>
                </c:pt>
                <c:pt idx="14">
                  <c:v>-2.2000000000001183</c:v>
                </c:pt>
                <c:pt idx="15">
                  <c:v>-1.839999999999975</c:v>
                </c:pt>
                <c:pt idx="16">
                  <c:v>-1.4000000000000494</c:v>
                </c:pt>
                <c:pt idx="17">
                  <c:v>-1.2000000000000899</c:v>
                </c:pt>
                <c:pt idx="18">
                  <c:v>-1.1500000000001231</c:v>
                </c:pt>
                <c:pt idx="19">
                  <c:v>-0.93333333333348956</c:v>
                </c:pt>
                <c:pt idx="20">
                  <c:v>-0.91999999999998749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92-4372-ABF1-28D3AAC6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250239"/>
        <c:axId val="774255039"/>
      </c:scatterChart>
      <c:valAx>
        <c:axId val="77425023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5039"/>
        <c:crosses val="autoZero"/>
        <c:crossBetween val="midCat"/>
      </c:valAx>
      <c:valAx>
        <c:axId val="774255039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Error</a:t>
                </a:r>
                <a:r>
                  <a:rPr lang="de-DE" sz="2000" b="1" baseline="0"/>
                  <a:t> (%)</a:t>
                </a:r>
                <a:endParaRPr lang="de-DE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783078108654025"/>
          <c:y val="0.70864511093719518"/>
          <c:w val="0.18864445274600869"/>
          <c:h val="0.2224229485228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Deviation</a:t>
            </a:r>
            <a:r>
              <a:rPr lang="en-US" sz="1800" b="1" baseline="0"/>
              <a:t> (%) vs Input Current (A)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phase1_with_0Ohm!$B$6:$B$32</c:f>
              <c:numCache>
                <c:formatCode>General</c:formatCode>
                <c:ptCount val="27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-8</c:v>
                </c:pt>
                <c:pt idx="10">
                  <c:v>-6</c:v>
                </c:pt>
                <c:pt idx="11">
                  <c:v>-4</c:v>
                </c:pt>
                <c:pt idx="12">
                  <c:v>-2</c:v>
                </c:pt>
                <c:pt idx="13">
                  <c:v>0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  <c:pt idx="23">
                  <c:v>35</c:v>
                </c:pt>
                <c:pt idx="24">
                  <c:v>40</c:v>
                </c:pt>
                <c:pt idx="25">
                  <c:v>45</c:v>
                </c:pt>
                <c:pt idx="26">
                  <c:v>50</c:v>
                </c:pt>
              </c:numCache>
            </c:numRef>
          </c:xVal>
          <c:yVal>
            <c:numRef>
              <c:f>phase1_with_0Ohm!$J$6:$J$32</c:f>
              <c:numCache>
                <c:formatCode>General</c:formatCode>
                <c:ptCount val="27"/>
                <c:pt idx="0">
                  <c:v>36.352000000000004</c:v>
                </c:pt>
                <c:pt idx="1">
                  <c:v>29.177777777777781</c:v>
                </c:pt>
                <c:pt idx="2">
                  <c:v>20.255000000000003</c:v>
                </c:pt>
                <c:pt idx="3">
                  <c:v>8.8742857142857137</c:v>
                </c:pt>
                <c:pt idx="4">
                  <c:v>0.18666666666666093</c:v>
                </c:pt>
                <c:pt idx="5">
                  <c:v>0.19999999999999576</c:v>
                </c:pt>
                <c:pt idx="6">
                  <c:v>0.19000000000000128</c:v>
                </c:pt>
                <c:pt idx="7">
                  <c:v>-3.9999999999995595E-2</c:v>
                </c:pt>
                <c:pt idx="8">
                  <c:v>-0.8799999999999919</c:v>
                </c:pt>
                <c:pt idx="9">
                  <c:v>-1.062499999999994</c:v>
                </c:pt>
                <c:pt idx="10">
                  <c:v>-1.3766666666666743</c:v>
                </c:pt>
                <c:pt idx="11">
                  <c:v>-1.999999999999988</c:v>
                </c:pt>
                <c:pt idx="12">
                  <c:v>-3.9999999999999898</c:v>
                </c:pt>
                <c:pt idx="13">
                  <c:v>0</c:v>
                </c:pt>
                <c:pt idx="14">
                  <c:v>3.7000000000000091</c:v>
                </c:pt>
                <c:pt idx="15">
                  <c:v>1.80000000000001</c:v>
                </c:pt>
                <c:pt idx="16">
                  <c:v>1.2666666666666568</c:v>
                </c:pt>
                <c:pt idx="17">
                  <c:v>1.0000000000000009</c:v>
                </c:pt>
                <c:pt idx="18">
                  <c:v>0.8600000000000052</c:v>
                </c:pt>
                <c:pt idx="19">
                  <c:v>1.0933333333333315</c:v>
                </c:pt>
                <c:pt idx="20">
                  <c:v>1.0700000000000043</c:v>
                </c:pt>
                <c:pt idx="21">
                  <c:v>1.039999999999992</c:v>
                </c:pt>
                <c:pt idx="22">
                  <c:v>0.78000000000000291</c:v>
                </c:pt>
                <c:pt idx="23">
                  <c:v>0.69714285714285651</c:v>
                </c:pt>
                <c:pt idx="24">
                  <c:v>0.57500000000000329</c:v>
                </c:pt>
                <c:pt idx="25">
                  <c:v>0.51111111111110419</c:v>
                </c:pt>
                <c:pt idx="26">
                  <c:v>1.0720000000000063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7-4FF0-9D89-43DEDFB9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121584"/>
        <c:axId val="1083116304"/>
      </c:scatterChart>
      <c:valAx>
        <c:axId val="1083121584"/>
        <c:scaling>
          <c:orientation val="minMax"/>
          <c:max val="5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Current</a:t>
                </a:r>
                <a:r>
                  <a:rPr lang="de-DE" sz="1800" b="1" baseline="0"/>
                  <a:t> (A)</a:t>
                </a:r>
                <a:endParaRPr lang="de-DE" sz="1800" b="1"/>
              </a:p>
            </c:rich>
          </c:tx>
          <c:layout>
            <c:manualLayout>
              <c:xMode val="edge"/>
              <c:yMode val="edge"/>
              <c:x val="0.43291768578665885"/>
              <c:y val="0.91886545482449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3116304"/>
        <c:crosses val="autoZero"/>
        <c:crossBetween val="midCat"/>
      </c:valAx>
      <c:valAx>
        <c:axId val="1083116304"/>
        <c:scaling>
          <c:orientation val="minMax"/>
          <c:max val="4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Error (%)</a:t>
                </a:r>
              </a:p>
            </c:rich>
          </c:tx>
          <c:layout>
            <c:manualLayout>
              <c:xMode val="edge"/>
              <c:yMode val="edge"/>
              <c:x val="6.5151058114743836E-3"/>
              <c:y val="0.42780097180525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31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Deviation (%) vs Input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phase2_with_R5_R2!$B$5:$B$13</c:f>
              <c:numCache>
                <c:formatCode>General</c:formatCode>
                <c:ptCount val="9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phase2_with_R5_R2!$J$5:$J$13</c:f>
              <c:numCache>
                <c:formatCode>General</c:formatCode>
                <c:ptCount val="9"/>
                <c:pt idx="0">
                  <c:v>4.1360000000000063</c:v>
                </c:pt>
                <c:pt idx="1">
                  <c:v>4.2133333333333436</c:v>
                </c:pt>
                <c:pt idx="2">
                  <c:v>4.2499999999999982</c:v>
                </c:pt>
                <c:pt idx="3">
                  <c:v>4.3199999999999941</c:v>
                </c:pt>
                <c:pt idx="4">
                  <c:v>4.1866666666666639</c:v>
                </c:pt>
                <c:pt idx="5">
                  <c:v>4.3999999999999977</c:v>
                </c:pt>
                <c:pt idx="6">
                  <c:v>4.3250000000000011</c:v>
                </c:pt>
                <c:pt idx="7">
                  <c:v>4.266666666666671</c:v>
                </c:pt>
                <c:pt idx="8">
                  <c:v>4.1999999999999993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2-45ED-831A-E6E359D13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977296"/>
        <c:axId val="1420986416"/>
      </c:scatterChart>
      <c:valAx>
        <c:axId val="1420977296"/>
        <c:scaling>
          <c:orientation val="minMax"/>
          <c:max val="5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Input</a:t>
                </a:r>
                <a:r>
                  <a:rPr lang="de-DE" baseline="0"/>
                  <a:t> Current (A)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0986416"/>
        <c:crosses val="autoZero"/>
        <c:crossBetween val="midCat"/>
      </c:valAx>
      <c:valAx>
        <c:axId val="14209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Error (%)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1683253135024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097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Deviation (%) vs Input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phase2_with_0Ohm!$C$8:$C$34</c:f>
              <c:numCache>
                <c:formatCode>General</c:formatCode>
                <c:ptCount val="27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-8</c:v>
                </c:pt>
                <c:pt idx="10">
                  <c:v>-6</c:v>
                </c:pt>
                <c:pt idx="11">
                  <c:v>-4</c:v>
                </c:pt>
                <c:pt idx="12">
                  <c:v>-2</c:v>
                </c:pt>
                <c:pt idx="13">
                  <c:v>0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  <c:pt idx="23">
                  <c:v>35</c:v>
                </c:pt>
                <c:pt idx="24">
                  <c:v>40</c:v>
                </c:pt>
                <c:pt idx="25">
                  <c:v>45</c:v>
                </c:pt>
                <c:pt idx="26">
                  <c:v>50</c:v>
                </c:pt>
              </c:numCache>
            </c:numRef>
          </c:xVal>
          <c:yVal>
            <c:numRef>
              <c:f>phase2_with_0Ohm!$G$8:$G$34</c:f>
              <c:numCache>
                <c:formatCode>General</c:formatCode>
                <c:ptCount val="27"/>
                <c:pt idx="0">
                  <c:v>-4.0000000000084412E-3</c:v>
                </c:pt>
                <c:pt idx="1">
                  <c:v>3.1111111111117553E-2</c:v>
                </c:pt>
                <c:pt idx="2">
                  <c:v>6.0000000000004494E-2</c:v>
                </c:pt>
                <c:pt idx="3">
                  <c:v>0.13142857142856965</c:v>
                </c:pt>
                <c:pt idx="4">
                  <c:v>0.24000000000000318</c:v>
                </c:pt>
                <c:pt idx="5">
                  <c:v>0.39999999999999153</c:v>
                </c:pt>
                <c:pt idx="6">
                  <c:v>0.49000000000000155</c:v>
                </c:pt>
                <c:pt idx="7">
                  <c:v>0.46666666666665968</c:v>
                </c:pt>
                <c:pt idx="8">
                  <c:v>1.3000000000000012</c:v>
                </c:pt>
                <c:pt idx="9">
                  <c:v>1.2000000000000066</c:v>
                </c:pt>
                <c:pt idx="10">
                  <c:v>2.3333333333333357</c:v>
                </c:pt>
                <c:pt idx="11">
                  <c:v>2.5000000000000022</c:v>
                </c:pt>
                <c:pt idx="12">
                  <c:v>4.2000000000000091</c:v>
                </c:pt>
                <c:pt idx="13">
                  <c:v>0</c:v>
                </c:pt>
                <c:pt idx="14">
                  <c:v>4.7999999999999989</c:v>
                </c:pt>
                <c:pt idx="15">
                  <c:v>4.0000000000000036</c:v>
                </c:pt>
                <c:pt idx="16">
                  <c:v>3.3333333333333366</c:v>
                </c:pt>
                <c:pt idx="17">
                  <c:v>2.0000000000000018</c:v>
                </c:pt>
                <c:pt idx="18">
                  <c:v>1.419999999999999</c:v>
                </c:pt>
                <c:pt idx="19">
                  <c:v>0.58666666666666134</c:v>
                </c:pt>
                <c:pt idx="20">
                  <c:v>0.60000000000000053</c:v>
                </c:pt>
                <c:pt idx="21">
                  <c:v>0.48000000000000037</c:v>
                </c:pt>
                <c:pt idx="22">
                  <c:v>0.2999999999999966</c:v>
                </c:pt>
                <c:pt idx="23">
                  <c:v>0.25714285714285418</c:v>
                </c:pt>
                <c:pt idx="24">
                  <c:v>0.18500000000000183</c:v>
                </c:pt>
                <c:pt idx="25">
                  <c:v>0.16000000000000211</c:v>
                </c:pt>
                <c:pt idx="26">
                  <c:v>0.13199999999999434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D-4C46-8DFD-61C41EDAE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084831"/>
        <c:axId val="1139086751"/>
      </c:scatterChart>
      <c:valAx>
        <c:axId val="1139084831"/>
        <c:scaling>
          <c:orientation val="minMax"/>
          <c:max val="5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Input</a:t>
                </a:r>
                <a:r>
                  <a:rPr lang="de-DE" sz="1600" b="1" baseline="0"/>
                  <a:t> Current (A)</a:t>
                </a:r>
                <a:endParaRPr lang="de-DE" sz="1600" b="1"/>
              </a:p>
            </c:rich>
          </c:tx>
          <c:layout>
            <c:manualLayout>
              <c:xMode val="edge"/>
              <c:yMode val="edge"/>
              <c:x val="0.41617705820441259"/>
              <c:y val="0.89109111127901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086751"/>
        <c:crosses val="autoZero"/>
        <c:crossBetween val="midCat"/>
        <c:majorUnit val="5"/>
      </c:valAx>
      <c:valAx>
        <c:axId val="11390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Error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08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821694</xdr:colOff>
      <xdr:row>39</xdr:row>
      <xdr:rowOff>28022</xdr:rowOff>
    </xdr:from>
    <xdr:to>
      <xdr:col>11</xdr:col>
      <xdr:colOff>123518</xdr:colOff>
      <xdr:row>40</xdr:row>
      <xdr:rowOff>49833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15D6FD7-21DB-6946-33CA-8FA5B7E8ED39}"/>
            </a:ext>
          </a:extLst>
        </xdr:cNvPr>
        <xdr:cNvSpPr/>
      </xdr:nvSpPr>
      <xdr:spPr>
        <a:xfrm>
          <a:off x="9181282" y="7020493"/>
          <a:ext cx="231912" cy="20110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900084</xdr:colOff>
      <xdr:row>39</xdr:row>
      <xdr:rowOff>19400</xdr:rowOff>
    </xdr:from>
    <xdr:to>
      <xdr:col>11</xdr:col>
      <xdr:colOff>1105907</xdr:colOff>
      <xdr:row>40</xdr:row>
      <xdr:rowOff>38489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B3352E6-809E-4DA9-833A-61689B2F1EAE}"/>
            </a:ext>
          </a:extLst>
        </xdr:cNvPr>
        <xdr:cNvSpPr/>
      </xdr:nvSpPr>
      <xdr:spPr>
        <a:xfrm>
          <a:off x="10189760" y="7011871"/>
          <a:ext cx="205823" cy="19838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924334</xdr:colOff>
      <xdr:row>42</xdr:row>
      <xdr:rowOff>19035</xdr:rowOff>
    </xdr:from>
    <xdr:to>
      <xdr:col>11</xdr:col>
      <xdr:colOff>1162596</xdr:colOff>
      <xdr:row>43</xdr:row>
      <xdr:rowOff>47196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726B9FC-2C6D-4C9B-9CEA-6B863242E66E}"/>
            </a:ext>
          </a:extLst>
        </xdr:cNvPr>
        <xdr:cNvSpPr/>
      </xdr:nvSpPr>
      <xdr:spPr>
        <a:xfrm>
          <a:off x="10214010" y="7549388"/>
          <a:ext cx="238262" cy="20745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183672</xdr:colOff>
      <xdr:row>42</xdr:row>
      <xdr:rowOff>27959</xdr:rowOff>
    </xdr:from>
    <xdr:to>
      <xdr:col>7</xdr:col>
      <xdr:colOff>402195</xdr:colOff>
      <xdr:row>43</xdr:row>
      <xdr:rowOff>52945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FFB08A-9217-46CD-A7E9-79B1DE07EF89}"/>
            </a:ext>
          </a:extLst>
        </xdr:cNvPr>
        <xdr:cNvSpPr/>
      </xdr:nvSpPr>
      <xdr:spPr>
        <a:xfrm>
          <a:off x="5921084" y="7558312"/>
          <a:ext cx="218523" cy="20428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52385</xdr:colOff>
      <xdr:row>43</xdr:row>
      <xdr:rowOff>24597</xdr:rowOff>
    </xdr:from>
    <xdr:ext cx="499432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F84ED0-CC74-CA22-886C-F1E459A5D25C}"/>
            </a:ext>
          </a:extLst>
        </xdr:cNvPr>
        <xdr:cNvSpPr txBox="1"/>
      </xdr:nvSpPr>
      <xdr:spPr>
        <a:xfrm>
          <a:off x="5789797" y="7734244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TP1</a:t>
          </a:r>
        </a:p>
      </xdr:txBody>
    </xdr:sp>
    <xdr:clientData/>
  </xdr:oneCellAnchor>
  <xdr:oneCellAnchor>
    <xdr:from>
      <xdr:col>10</xdr:col>
      <xdr:colOff>557323</xdr:colOff>
      <xdr:row>37</xdr:row>
      <xdr:rowOff>69096</xdr:rowOff>
    </xdr:from>
    <xdr:ext cx="499432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DE437F-C464-45AC-9661-A6BA65F5F568}"/>
            </a:ext>
          </a:extLst>
        </xdr:cNvPr>
        <xdr:cNvSpPr txBox="1"/>
      </xdr:nvSpPr>
      <xdr:spPr>
        <a:xfrm>
          <a:off x="8916911" y="6702978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TP3</a:t>
          </a:r>
        </a:p>
      </xdr:txBody>
    </xdr:sp>
    <xdr:clientData/>
  </xdr:oneCellAnchor>
  <xdr:oneCellAnchor>
    <xdr:from>
      <xdr:col>11</xdr:col>
      <xdr:colOff>747084</xdr:colOff>
      <xdr:row>40</xdr:row>
      <xdr:rowOff>123397</xdr:rowOff>
    </xdr:from>
    <xdr:ext cx="499432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D6308F-6D9B-4D8B-A346-DF07B55E4201}"/>
            </a:ext>
          </a:extLst>
        </xdr:cNvPr>
        <xdr:cNvSpPr txBox="1"/>
      </xdr:nvSpPr>
      <xdr:spPr>
        <a:xfrm>
          <a:off x="10036760" y="7295162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TP2</a:t>
          </a:r>
        </a:p>
      </xdr:txBody>
    </xdr:sp>
    <xdr:clientData/>
  </xdr:oneCellAnchor>
  <xdr:oneCellAnchor>
    <xdr:from>
      <xdr:col>11</xdr:col>
      <xdr:colOff>768758</xdr:colOff>
      <xdr:row>37</xdr:row>
      <xdr:rowOff>83225</xdr:rowOff>
    </xdr:from>
    <xdr:ext cx="499432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B4EA7D-FB9A-4210-BA7A-2E4A0E59D3C9}"/>
            </a:ext>
          </a:extLst>
        </xdr:cNvPr>
        <xdr:cNvSpPr txBox="1"/>
      </xdr:nvSpPr>
      <xdr:spPr>
        <a:xfrm>
          <a:off x="10058434" y="6717107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TP4</a:t>
          </a:r>
        </a:p>
      </xdr:txBody>
    </xdr:sp>
    <xdr:clientData/>
  </xdr:oneCellAnchor>
  <xdr:twoCellAnchor>
    <xdr:from>
      <xdr:col>17</xdr:col>
      <xdr:colOff>391162</xdr:colOff>
      <xdr:row>3</xdr:row>
      <xdr:rowOff>164673</xdr:rowOff>
    </xdr:from>
    <xdr:to>
      <xdr:col>31</xdr:col>
      <xdr:colOff>68168</xdr:colOff>
      <xdr:row>30</xdr:row>
      <xdr:rowOff>126761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4334DE-B46C-8BFE-1287-C37FE20E7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38100</xdr:colOff>
      <xdr:row>31</xdr:row>
      <xdr:rowOff>114300</xdr:rowOff>
    </xdr:from>
    <xdr:to>
      <xdr:col>31</xdr:col>
      <xdr:colOff>417985</xdr:colOff>
      <xdr:row>56</xdr:row>
      <xdr:rowOff>69237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555D32-1477-C6E5-46FD-6B0906EE6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83100" y="6019800"/>
          <a:ext cx="8914285" cy="4717436"/>
        </a:xfrm>
        <a:prstGeom prst="rect">
          <a:avLst/>
        </a:prstGeom>
      </xdr:spPr>
    </xdr:pic>
    <xdr:clientData/>
  </xdr:twoCellAnchor>
  <xdr:twoCellAnchor editAs="oneCell">
    <xdr:from>
      <xdr:col>2</xdr:col>
      <xdr:colOff>289649</xdr:colOff>
      <xdr:row>28</xdr:row>
      <xdr:rowOff>122544</xdr:rowOff>
    </xdr:from>
    <xdr:to>
      <xdr:col>16</xdr:col>
      <xdr:colOff>526770</xdr:colOff>
      <xdr:row>59</xdr:row>
      <xdr:rowOff>75034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14432A-CAED-3AB7-3EF9-D5002D527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4824" y="5425351"/>
          <a:ext cx="14215087" cy="5823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247295</xdr:colOff>
      <xdr:row>35</xdr:row>
      <xdr:rowOff>25587</xdr:rowOff>
    </xdr:from>
    <xdr:to>
      <xdr:col>10</xdr:col>
      <xdr:colOff>635855</xdr:colOff>
      <xdr:row>55</xdr:row>
      <xdr:rowOff>47998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A6381-03B1-7993-7FDB-5AEA37D6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413" y="6356911"/>
          <a:ext cx="8964235" cy="3605118"/>
        </a:xfrm>
        <a:prstGeom prst="rect">
          <a:avLst/>
        </a:prstGeom>
      </xdr:spPr>
    </xdr:pic>
    <xdr:clientData/>
  </xdr:twoCellAnchor>
  <xdr:twoCellAnchor>
    <xdr:from>
      <xdr:col>13</xdr:col>
      <xdr:colOff>400101</xdr:colOff>
      <xdr:row>4</xdr:row>
      <xdr:rowOff>149702</xdr:rowOff>
    </xdr:from>
    <xdr:to>
      <xdr:col>28</xdr:col>
      <xdr:colOff>326120</xdr:colOff>
      <xdr:row>32</xdr:row>
      <xdr:rowOff>36318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86E670-F558-3E2A-CA02-834660C86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19326</xdr:colOff>
      <xdr:row>14</xdr:row>
      <xdr:rowOff>53009</xdr:rowOff>
    </xdr:from>
    <xdr:to>
      <xdr:col>6</xdr:col>
      <xdr:colOff>411369</xdr:colOff>
      <xdr:row>29</xdr:row>
      <xdr:rowOff>62948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7B020-C1D3-BBE8-2B10-53E678DB7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58943</xdr:colOff>
      <xdr:row>7</xdr:row>
      <xdr:rowOff>44726</xdr:rowOff>
    </xdr:from>
    <xdr:to>
      <xdr:col>20</xdr:col>
      <xdr:colOff>496957</xdr:colOff>
      <xdr:row>26</xdr:row>
      <xdr:rowOff>149087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52199-998E-6ABF-C061-3F27795C8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7"/>
  <sheetViews>
    <sheetView zoomScale="55" zoomScaleNormal="55" workbookViewId="0">
      <selection activeCell="P15" sqref="P15"/>
    </sheetView>
  </sheetViews>
  <sheetFormatPr defaultRowHeight="14.5" x14ac:dyDescent="0.35"/>
  <cols>
    <col min="1" max="1" width="9.1796875" customWidth="1"/>
    <col min="2" max="2" width="6.81640625" customWidth="1"/>
    <col min="3" max="3" width="10" style="1" bestFit="1" customWidth="1"/>
    <col min="4" max="4" width="15" style="5" bestFit="1" customWidth="1"/>
    <col min="5" max="5" width="12.81640625" style="5" customWidth="1"/>
    <col min="6" max="6" width="14" style="5" bestFit="1" customWidth="1"/>
    <col min="7" max="7" width="14" style="5" customWidth="1"/>
    <col min="8" max="8" width="14.453125" style="1" bestFit="1" customWidth="1"/>
    <col min="9" max="9" width="11.6328125" style="1" bestFit="1" customWidth="1"/>
    <col min="10" max="10" width="11.6328125" style="1" customWidth="1"/>
    <col min="11" max="11" width="13.36328125" style="5" bestFit="1" customWidth="1"/>
    <col min="12" max="12" width="17.26953125" style="1" customWidth="1"/>
    <col min="13" max="13" width="17.54296875" style="1" bestFit="1" customWidth="1"/>
    <col min="14" max="14" width="18.54296875" style="1" bestFit="1" customWidth="1"/>
    <col min="15" max="15" width="15.26953125" style="1" bestFit="1" customWidth="1"/>
    <col min="16" max="16" width="14.453125" style="1" bestFit="1" customWidth="1"/>
    <col min="17" max="17" width="15.54296875" style="1" bestFit="1" customWidth="1"/>
    <col min="18" max="18" width="8.7265625" style="1"/>
  </cols>
  <sheetData>
    <row r="1" spans="2:17" ht="18.5" x14ac:dyDescent="0.45">
      <c r="B1" s="12" t="s">
        <v>33</v>
      </c>
    </row>
    <row r="2" spans="2:17" x14ac:dyDescent="0.35">
      <c r="Q2" s="9" t="s">
        <v>16</v>
      </c>
    </row>
    <row r="3" spans="2:17" x14ac:dyDescent="0.35">
      <c r="Q3" s="10">
        <f>2000/1051</f>
        <v>1.9029495718363463</v>
      </c>
    </row>
    <row r="4" spans="2:17" x14ac:dyDescent="0.35">
      <c r="D4" s="8" t="s">
        <v>4</v>
      </c>
      <c r="E4" s="8" t="s">
        <v>6</v>
      </c>
      <c r="F4" s="8" t="s">
        <v>5</v>
      </c>
      <c r="G4" s="8" t="s">
        <v>10</v>
      </c>
      <c r="H4" s="1" t="s">
        <v>7</v>
      </c>
      <c r="O4" s="1" t="s">
        <v>19</v>
      </c>
      <c r="P4" s="1" t="s">
        <v>7</v>
      </c>
    </row>
    <row r="5" spans="2:17" x14ac:dyDescent="0.35">
      <c r="C5" s="4" t="s">
        <v>0</v>
      </c>
      <c r="D5" s="6" t="s">
        <v>9</v>
      </c>
      <c r="E5" s="6" t="s">
        <v>12</v>
      </c>
      <c r="F5" s="6" t="s">
        <v>11</v>
      </c>
      <c r="G5" s="6" t="s">
        <v>8</v>
      </c>
      <c r="H5" s="4" t="s">
        <v>1</v>
      </c>
      <c r="I5" s="4" t="s">
        <v>2</v>
      </c>
      <c r="J5" s="4"/>
      <c r="K5" s="6" t="s">
        <v>3</v>
      </c>
      <c r="L5" s="4" t="s">
        <v>17</v>
      </c>
      <c r="M5" s="4" t="s">
        <v>18</v>
      </c>
      <c r="N5" s="4" t="s">
        <v>13</v>
      </c>
      <c r="O5" s="4" t="s">
        <v>14</v>
      </c>
      <c r="P5" s="4" t="s">
        <v>15</v>
      </c>
    </row>
    <row r="6" spans="2:17" x14ac:dyDescent="0.35">
      <c r="C6" s="3">
        <v>-10</v>
      </c>
      <c r="D6" s="7">
        <v>2.2421000000000002</v>
      </c>
      <c r="E6" s="7">
        <v>2.2543000000000002</v>
      </c>
      <c r="F6" s="7">
        <v>2.4944000000000002</v>
      </c>
      <c r="G6" s="7">
        <v>2.4944000000000002</v>
      </c>
      <c r="H6" s="7">
        <f>E6-G6</f>
        <v>-0.24009999999999998</v>
      </c>
      <c r="I6" s="3">
        <v>-0.5</v>
      </c>
      <c r="J6" s="3">
        <f>1.902949572*H6</f>
        <v>-0.45689819223719996</v>
      </c>
      <c r="K6" s="7">
        <v>-0.48010000000000003</v>
      </c>
      <c r="L6" s="7">
        <f>I6-K6</f>
        <v>-1.9899999999999973E-2</v>
      </c>
      <c r="M6" s="3">
        <f>(L6/I6)*100</f>
        <v>3.9799999999999947</v>
      </c>
      <c r="N6" s="7">
        <f>((2*(D6-G6)  - I6)/I6) * 100</f>
        <v>0.91999999999998749</v>
      </c>
      <c r="O6" s="7">
        <f>D6-F6</f>
        <v>-0.25229999999999997</v>
      </c>
      <c r="P6" s="7">
        <f>E6-G6</f>
        <v>-0.24009999999999998</v>
      </c>
    </row>
    <row r="7" spans="2:17" x14ac:dyDescent="0.35">
      <c r="C7" s="3">
        <v>-9</v>
      </c>
      <c r="D7" s="7">
        <v>2.2671000000000001</v>
      </c>
      <c r="E7" s="7">
        <v>2.2782</v>
      </c>
      <c r="F7" s="7">
        <v>2.4944000000000002</v>
      </c>
      <c r="G7" s="7">
        <v>2.4944000000000002</v>
      </c>
      <c r="H7" s="7">
        <f t="shared" ref="H7:H26" si="0">E7-G7</f>
        <v>-0.21620000000000017</v>
      </c>
      <c r="I7" s="3">
        <v>-0.45</v>
      </c>
      <c r="J7" s="3">
        <f t="shared" ref="J7:J26" si="1">1.902949572*H7</f>
        <v>-0.41141769746640033</v>
      </c>
      <c r="K7" s="7">
        <v>-0.4325</v>
      </c>
      <c r="L7" s="7">
        <f t="shared" ref="L7:L26" si="2">I7-K7</f>
        <v>-1.7500000000000016E-2</v>
      </c>
      <c r="M7" s="3">
        <f t="shared" ref="M7:M26" si="3">(L7/I7)*100</f>
        <v>3.8888888888888924</v>
      </c>
      <c r="N7" s="7">
        <f t="shared" ref="N7:N26" si="4">((2*(D7-G7)  - I7)/I7) * 100</f>
        <v>1.0222222222222455</v>
      </c>
      <c r="O7" s="7">
        <f t="shared" ref="O7:O26" si="5">D7-F7</f>
        <v>-0.22730000000000006</v>
      </c>
      <c r="P7" s="7">
        <f t="shared" ref="P7:P26" si="6">E7-G7</f>
        <v>-0.21620000000000017</v>
      </c>
    </row>
    <row r="8" spans="2:17" x14ac:dyDescent="0.35">
      <c r="C8" s="3">
        <v>-8</v>
      </c>
      <c r="D8" s="7">
        <v>2.2921999999999998</v>
      </c>
      <c r="E8" s="7">
        <v>2.302</v>
      </c>
      <c r="F8" s="7">
        <v>2.4944000000000002</v>
      </c>
      <c r="G8" s="7">
        <v>2.4944000000000002</v>
      </c>
      <c r="H8" s="7">
        <f t="shared" si="0"/>
        <v>-0.19240000000000013</v>
      </c>
      <c r="I8" s="3">
        <v>-0.4</v>
      </c>
      <c r="J8" s="3">
        <f t="shared" si="1"/>
        <v>-0.36612749765280023</v>
      </c>
      <c r="K8" s="7">
        <v>-0.38500000000000001</v>
      </c>
      <c r="L8" s="7">
        <f t="shared" si="2"/>
        <v>-1.5000000000000013E-2</v>
      </c>
      <c r="M8" s="3">
        <f t="shared" si="3"/>
        <v>3.7500000000000036</v>
      </c>
      <c r="N8" s="7">
        <f t="shared" si="4"/>
        <v>1.1000000000001842</v>
      </c>
      <c r="O8" s="7">
        <f t="shared" si="5"/>
        <v>-0.20220000000000038</v>
      </c>
      <c r="P8" s="7">
        <f t="shared" si="6"/>
        <v>-0.19240000000000013</v>
      </c>
    </row>
    <row r="9" spans="2:17" x14ac:dyDescent="0.35">
      <c r="C9" s="3">
        <v>-7</v>
      </c>
      <c r="D9" s="7">
        <v>2.3172000000000001</v>
      </c>
      <c r="E9" s="7">
        <v>2.3256999999999999</v>
      </c>
      <c r="F9" s="7">
        <v>2.4944000000000002</v>
      </c>
      <c r="G9" s="7">
        <v>2.4944000000000002</v>
      </c>
      <c r="H9" s="7">
        <f t="shared" si="0"/>
        <v>-0.16870000000000029</v>
      </c>
      <c r="I9" s="3">
        <v>-0.35</v>
      </c>
      <c r="J9" s="3">
        <f t="shared" si="1"/>
        <v>-0.32102759279640058</v>
      </c>
      <c r="K9" s="7">
        <v>-0.33750000000000002</v>
      </c>
      <c r="L9" s="7">
        <f t="shared" si="2"/>
        <v>-1.2499999999999956E-2</v>
      </c>
      <c r="M9" s="3">
        <f t="shared" si="3"/>
        <v>3.5714285714285587</v>
      </c>
      <c r="N9" s="7">
        <f t="shared" si="4"/>
        <v>1.2571428571428773</v>
      </c>
      <c r="O9" s="7">
        <f t="shared" si="5"/>
        <v>-0.17720000000000002</v>
      </c>
      <c r="P9" s="7">
        <f t="shared" si="6"/>
        <v>-0.16870000000000029</v>
      </c>
    </row>
    <row r="10" spans="2:17" x14ac:dyDescent="0.35">
      <c r="C10" s="3">
        <v>-6</v>
      </c>
      <c r="D10" s="7">
        <v>2.3420000000000001</v>
      </c>
      <c r="E10" s="7">
        <v>2.3494999999999999</v>
      </c>
      <c r="F10" s="7">
        <v>2.4943</v>
      </c>
      <c r="G10" s="7">
        <v>2.4943</v>
      </c>
      <c r="H10" s="7">
        <f t="shared" si="0"/>
        <v>-0.14480000000000004</v>
      </c>
      <c r="I10" s="3">
        <v>-0.3</v>
      </c>
      <c r="J10" s="3">
        <f t="shared" si="1"/>
        <v>-0.27554709802560007</v>
      </c>
      <c r="K10" s="7">
        <v>-0.28970000000000001</v>
      </c>
      <c r="L10" s="7">
        <f t="shared" si="2"/>
        <v>-1.0299999999999976E-2</v>
      </c>
      <c r="M10" s="3">
        <f t="shared" si="3"/>
        <v>3.4333333333333256</v>
      </c>
      <c r="N10" s="7">
        <f t="shared" si="4"/>
        <v>1.5333333333332571</v>
      </c>
      <c r="O10" s="7">
        <f t="shared" si="5"/>
        <v>-0.15229999999999988</v>
      </c>
      <c r="P10" s="7">
        <f t="shared" si="6"/>
        <v>-0.14480000000000004</v>
      </c>
    </row>
    <row r="11" spans="2:17" x14ac:dyDescent="0.35">
      <c r="C11" s="3">
        <v>-5</v>
      </c>
      <c r="D11" s="7">
        <v>2.367</v>
      </c>
      <c r="E11" s="7">
        <v>2.3732000000000002</v>
      </c>
      <c r="F11" s="7">
        <v>2.4943</v>
      </c>
      <c r="G11" s="7">
        <v>2.4943</v>
      </c>
      <c r="H11" s="7">
        <f t="shared" si="0"/>
        <v>-0.12109999999999976</v>
      </c>
      <c r="I11" s="3">
        <v>-0.25</v>
      </c>
      <c r="J11" s="3">
        <f t="shared" si="1"/>
        <v>-0.23044719316919957</v>
      </c>
      <c r="K11" s="7">
        <v>-0.24229999999999999</v>
      </c>
      <c r="L11" s="7">
        <f t="shared" si="2"/>
        <v>-7.7000000000000124E-3</v>
      </c>
      <c r="M11" s="3">
        <f t="shared" si="3"/>
        <v>3.080000000000005</v>
      </c>
      <c r="N11" s="7">
        <f t="shared" si="4"/>
        <v>1.839999999999975</v>
      </c>
      <c r="O11" s="7">
        <f t="shared" si="5"/>
        <v>-0.12729999999999997</v>
      </c>
      <c r="P11" s="7">
        <f t="shared" si="6"/>
        <v>-0.12109999999999976</v>
      </c>
    </row>
    <row r="12" spans="2:17" x14ac:dyDescent="0.35">
      <c r="C12" s="3">
        <v>-4</v>
      </c>
      <c r="D12" s="7">
        <v>2.3921000000000001</v>
      </c>
      <c r="E12" s="7">
        <v>2.3971</v>
      </c>
      <c r="F12" s="7">
        <v>2.4943</v>
      </c>
      <c r="G12" s="7">
        <v>2.4943</v>
      </c>
      <c r="H12" s="7">
        <f t="shared" si="0"/>
        <v>-9.7199999999999953E-2</v>
      </c>
      <c r="I12" s="3">
        <v>-0.2</v>
      </c>
      <c r="J12" s="3">
        <f t="shared" si="1"/>
        <v>-0.18496669839839991</v>
      </c>
      <c r="K12" s="7">
        <v>-0.19470000000000001</v>
      </c>
      <c r="L12" s="7">
        <f t="shared" si="2"/>
        <v>-5.2999999999999992E-3</v>
      </c>
      <c r="M12" s="3">
        <f t="shared" si="3"/>
        <v>2.6499999999999995</v>
      </c>
      <c r="N12" s="7">
        <f t="shared" si="4"/>
        <v>2.1999999999998412</v>
      </c>
      <c r="O12" s="7">
        <f t="shared" si="5"/>
        <v>-0.10219999999999985</v>
      </c>
      <c r="P12" s="7">
        <f t="shared" si="6"/>
        <v>-9.7199999999999953E-2</v>
      </c>
    </row>
    <row r="13" spans="2:17" x14ac:dyDescent="0.35">
      <c r="C13" s="3">
        <v>-3</v>
      </c>
      <c r="D13" s="7">
        <v>2.4169999999999998</v>
      </c>
      <c r="E13" s="7">
        <v>2.4207999999999998</v>
      </c>
      <c r="F13" s="7">
        <v>2.4942000000000002</v>
      </c>
      <c r="G13" s="7">
        <v>2.4942000000000002</v>
      </c>
      <c r="H13" s="7">
        <f t="shared" si="0"/>
        <v>-7.3400000000000354E-2</v>
      </c>
      <c r="I13" s="3">
        <v>-0.15</v>
      </c>
      <c r="J13" s="3">
        <f t="shared" si="1"/>
        <v>-0.13967649858480066</v>
      </c>
      <c r="K13" s="7">
        <v>-0.14710000000000001</v>
      </c>
      <c r="L13" s="7">
        <f t="shared" si="2"/>
        <v>-2.8999999999999859E-3</v>
      </c>
      <c r="M13" s="3">
        <f t="shared" si="3"/>
        <v>1.933333333333324</v>
      </c>
      <c r="N13" s="7">
        <f t="shared" si="4"/>
        <v>2.9333333333338429</v>
      </c>
      <c r="O13" s="7">
        <f t="shared" si="5"/>
        <v>-7.7200000000000379E-2</v>
      </c>
      <c r="P13" s="7">
        <f t="shared" si="6"/>
        <v>-7.3400000000000354E-2</v>
      </c>
    </row>
    <row r="14" spans="2:17" x14ac:dyDescent="0.35">
      <c r="C14" s="3">
        <v>-2</v>
      </c>
      <c r="D14" s="7">
        <v>2.4420000000000002</v>
      </c>
      <c r="E14" s="7">
        <v>2.4445000000000001</v>
      </c>
      <c r="F14" s="7">
        <v>2.4943</v>
      </c>
      <c r="G14" s="7">
        <v>2.4942000000000002</v>
      </c>
      <c r="H14" s="7">
        <f t="shared" si="0"/>
        <v>-4.9700000000000077E-2</v>
      </c>
      <c r="I14" s="3">
        <v>-0.1</v>
      </c>
      <c r="J14" s="3">
        <f t="shared" si="1"/>
        <v>-9.4576593728400146E-2</v>
      </c>
      <c r="K14" s="7">
        <v>-9.9599999999999994E-2</v>
      </c>
      <c r="L14" s="7">
        <f t="shared" si="2"/>
        <v>-4.0000000000001146E-4</v>
      </c>
      <c r="M14" s="3">
        <f t="shared" si="3"/>
        <v>0.40000000000001146</v>
      </c>
      <c r="N14" s="7">
        <f t="shared" si="4"/>
        <v>4.400000000000043</v>
      </c>
      <c r="O14" s="7">
        <f t="shared" si="5"/>
        <v>-5.2299999999999791E-2</v>
      </c>
      <c r="P14" s="7">
        <f t="shared" si="6"/>
        <v>-4.9700000000000077E-2</v>
      </c>
    </row>
    <row r="15" spans="2:17" x14ac:dyDescent="0.35">
      <c r="C15" s="3">
        <v>-1</v>
      </c>
      <c r="D15" s="7">
        <v>2.4672000000000001</v>
      </c>
      <c r="E15" s="7">
        <v>2.4683999999999999</v>
      </c>
      <c r="F15" s="7">
        <v>2.4942000000000002</v>
      </c>
      <c r="G15" s="7">
        <v>2.4942000000000002</v>
      </c>
      <c r="H15" s="7">
        <f t="shared" si="0"/>
        <v>-2.5800000000000267E-2</v>
      </c>
      <c r="I15" s="3">
        <v>-0.05</v>
      </c>
      <c r="J15" s="3">
        <f t="shared" si="1"/>
        <v>-4.9096098957600511E-2</v>
      </c>
      <c r="K15" s="7">
        <v>-5.1799999999999999E-2</v>
      </c>
      <c r="L15" s="7">
        <f t="shared" si="2"/>
        <v>1.799999999999996E-3</v>
      </c>
      <c r="M15" s="3">
        <f t="shared" si="3"/>
        <v>-3.5999999999999921</v>
      </c>
      <c r="N15" s="7">
        <f t="shared" si="4"/>
        <v>8.0000000000005347</v>
      </c>
      <c r="O15" s="7">
        <f t="shared" si="5"/>
        <v>-2.7000000000000135E-2</v>
      </c>
      <c r="P15" s="7">
        <f t="shared" si="6"/>
        <v>-2.5800000000000267E-2</v>
      </c>
    </row>
    <row r="16" spans="2:17" x14ac:dyDescent="0.35">
      <c r="C16" s="3">
        <v>0</v>
      </c>
      <c r="D16" s="7">
        <v>2.4918999999999998</v>
      </c>
      <c r="E16" s="7">
        <v>2.492</v>
      </c>
      <c r="F16" s="7">
        <v>2.4942000000000002</v>
      </c>
      <c r="G16" s="7">
        <v>2.4942000000000002</v>
      </c>
      <c r="H16" s="7">
        <f t="shared" si="0"/>
        <v>-2.2000000000002018E-3</v>
      </c>
      <c r="I16" s="3">
        <v>0</v>
      </c>
      <c r="J16" s="3">
        <f t="shared" si="1"/>
        <v>-4.1864890584003842E-3</v>
      </c>
      <c r="K16" s="7">
        <v>4.3E-3</v>
      </c>
      <c r="L16" s="7">
        <f t="shared" si="2"/>
        <v>-4.3E-3</v>
      </c>
      <c r="M16" s="3" t="e">
        <f t="shared" si="3"/>
        <v>#DIV/0!</v>
      </c>
      <c r="N16" s="7" t="e">
        <f t="shared" si="4"/>
        <v>#DIV/0!</v>
      </c>
      <c r="O16" s="7">
        <f t="shared" si="5"/>
        <v>-2.3000000000004128E-3</v>
      </c>
      <c r="P16" s="7">
        <f t="shared" si="6"/>
        <v>-2.2000000000002018E-3</v>
      </c>
    </row>
    <row r="17" spans="3:16" x14ac:dyDescent="0.35">
      <c r="C17" s="3">
        <v>1</v>
      </c>
      <c r="D17" s="7">
        <v>2.5169000000000001</v>
      </c>
      <c r="E17" s="7">
        <v>2.5158999999999998</v>
      </c>
      <c r="F17" s="7">
        <v>2.4943</v>
      </c>
      <c r="G17" s="7">
        <v>2.4942000000000002</v>
      </c>
      <c r="H17" s="7">
        <f t="shared" si="0"/>
        <v>2.1699999999999608E-2</v>
      </c>
      <c r="I17" s="3">
        <v>0.05</v>
      </c>
      <c r="J17" s="3">
        <f t="shared" si="1"/>
        <v>4.1294005712399252E-2</v>
      </c>
      <c r="K17" s="7">
        <v>4.3099999999999999E-2</v>
      </c>
      <c r="L17" s="7">
        <f t="shared" si="2"/>
        <v>6.9000000000000034E-3</v>
      </c>
      <c r="M17" s="3">
        <f t="shared" si="3"/>
        <v>13.800000000000006</v>
      </c>
      <c r="N17" s="7">
        <f t="shared" si="4"/>
        <v>-9.2000000000002355</v>
      </c>
      <c r="O17" s="7">
        <f t="shared" si="5"/>
        <v>2.2600000000000176E-2</v>
      </c>
      <c r="P17" s="7">
        <f t="shared" si="6"/>
        <v>2.1699999999999608E-2</v>
      </c>
    </row>
    <row r="18" spans="3:16" x14ac:dyDescent="0.35">
      <c r="C18" s="3">
        <v>2</v>
      </c>
      <c r="D18" s="7">
        <v>2.5421</v>
      </c>
      <c r="E18" s="7">
        <v>2.5396999999999998</v>
      </c>
      <c r="F18" s="7">
        <v>2.4942000000000002</v>
      </c>
      <c r="G18" s="7">
        <v>2.4942000000000002</v>
      </c>
      <c r="H18" s="7">
        <f t="shared" si="0"/>
        <v>4.5499999999999652E-2</v>
      </c>
      <c r="I18" s="3">
        <v>0.1</v>
      </c>
      <c r="J18" s="3">
        <f t="shared" si="1"/>
        <v>8.6584205525999339E-2</v>
      </c>
      <c r="K18" s="7">
        <v>9.0800000000000006E-2</v>
      </c>
      <c r="L18" s="7">
        <f t="shared" si="2"/>
        <v>9.1999999999999998E-3</v>
      </c>
      <c r="M18" s="3">
        <f t="shared" si="3"/>
        <v>9.1999999999999993</v>
      </c>
      <c r="N18" s="7">
        <f t="shared" si="4"/>
        <v>-4.2000000000003421</v>
      </c>
      <c r="O18" s="7">
        <f t="shared" si="5"/>
        <v>4.7899999999999832E-2</v>
      </c>
      <c r="P18" s="7">
        <f t="shared" si="6"/>
        <v>4.5499999999999652E-2</v>
      </c>
    </row>
    <row r="19" spans="3:16" x14ac:dyDescent="0.35">
      <c r="C19" s="3">
        <v>3</v>
      </c>
      <c r="D19" s="7">
        <v>2.5670999999999999</v>
      </c>
      <c r="E19" s="7">
        <v>2.5634999999999999</v>
      </c>
      <c r="F19" s="7">
        <v>2.4942000000000002</v>
      </c>
      <c r="G19" s="7">
        <v>2.4942000000000002</v>
      </c>
      <c r="H19" s="7">
        <f t="shared" si="0"/>
        <v>6.9299999999999695E-2</v>
      </c>
      <c r="I19" s="3">
        <v>0.15</v>
      </c>
      <c r="J19" s="3">
        <f t="shared" si="1"/>
        <v>0.13187440533959943</v>
      </c>
      <c r="K19" s="7">
        <v>0.13850000000000001</v>
      </c>
      <c r="L19" s="7">
        <f t="shared" si="2"/>
        <v>1.1499999999999982E-2</v>
      </c>
      <c r="M19" s="3">
        <f t="shared" si="3"/>
        <v>7.6666666666666554</v>
      </c>
      <c r="N19" s="7">
        <f t="shared" si="4"/>
        <v>-2.8000000000003396</v>
      </c>
      <c r="O19" s="7">
        <f t="shared" si="5"/>
        <v>7.2899999999999743E-2</v>
      </c>
      <c r="P19" s="7">
        <f t="shared" si="6"/>
        <v>6.9299999999999695E-2</v>
      </c>
    </row>
    <row r="20" spans="3:16" x14ac:dyDescent="0.35">
      <c r="C20" s="3">
        <v>4</v>
      </c>
      <c r="D20" s="7">
        <v>2.5920999999999998</v>
      </c>
      <c r="E20" s="7">
        <v>2.5872999999999999</v>
      </c>
      <c r="F20" s="7">
        <v>2.4943</v>
      </c>
      <c r="G20" s="7">
        <v>2.4943</v>
      </c>
      <c r="H20" s="7">
        <f t="shared" si="0"/>
        <v>9.2999999999999972E-2</v>
      </c>
      <c r="I20" s="3">
        <v>0.2</v>
      </c>
      <c r="J20" s="3">
        <f t="shared" si="1"/>
        <v>0.17697431019599996</v>
      </c>
      <c r="K20" s="7">
        <v>0.18590000000000001</v>
      </c>
      <c r="L20" s="7">
        <f t="shared" si="2"/>
        <v>1.4100000000000001E-2</v>
      </c>
      <c r="M20" s="3">
        <f t="shared" si="3"/>
        <v>7.0500000000000007</v>
      </c>
      <c r="N20" s="7">
        <f t="shared" si="4"/>
        <v>-2.2000000000001183</v>
      </c>
      <c r="O20" s="7">
        <f t="shared" si="5"/>
        <v>9.7799999999999887E-2</v>
      </c>
      <c r="P20" s="7">
        <f t="shared" si="6"/>
        <v>9.2999999999999972E-2</v>
      </c>
    </row>
    <row r="21" spans="3:16" x14ac:dyDescent="0.35">
      <c r="C21" s="3">
        <v>5</v>
      </c>
      <c r="D21" s="7">
        <v>2.617</v>
      </c>
      <c r="E21" s="7">
        <v>2.6111</v>
      </c>
      <c r="F21" s="7">
        <v>2.4943</v>
      </c>
      <c r="G21" s="7">
        <v>2.4943</v>
      </c>
      <c r="H21" s="7">
        <f t="shared" si="0"/>
        <v>0.11680000000000001</v>
      </c>
      <c r="I21" s="3">
        <v>0.25</v>
      </c>
      <c r="J21" s="3">
        <f t="shared" si="1"/>
        <v>0.22226451000960004</v>
      </c>
      <c r="K21" s="7">
        <v>0.23350000000000001</v>
      </c>
      <c r="L21" s="7">
        <f t="shared" si="2"/>
        <v>1.6499999999999987E-2</v>
      </c>
      <c r="M21" s="3">
        <f t="shared" si="3"/>
        <v>6.5999999999999943</v>
      </c>
      <c r="N21" s="7">
        <f t="shared" si="4"/>
        <v>-1.839999999999975</v>
      </c>
      <c r="O21" s="7">
        <f t="shared" si="5"/>
        <v>0.12270000000000003</v>
      </c>
      <c r="P21" s="7">
        <f t="shared" si="6"/>
        <v>0.11680000000000001</v>
      </c>
    </row>
    <row r="22" spans="3:16" x14ac:dyDescent="0.35">
      <c r="C22" s="3">
        <v>6</v>
      </c>
      <c r="D22" s="7">
        <v>2.6421999999999999</v>
      </c>
      <c r="E22" s="7">
        <v>2.6349999999999998</v>
      </c>
      <c r="F22" s="7">
        <v>2.4943</v>
      </c>
      <c r="G22" s="7">
        <v>2.4943</v>
      </c>
      <c r="H22" s="7">
        <f t="shared" si="0"/>
        <v>0.14069999999999983</v>
      </c>
      <c r="I22" s="3">
        <v>0.3</v>
      </c>
      <c r="J22" s="3">
        <f t="shared" si="1"/>
        <v>0.2677450047803997</v>
      </c>
      <c r="K22" s="7">
        <v>0.28120000000000001</v>
      </c>
      <c r="L22" s="7">
        <f t="shared" si="2"/>
        <v>1.8799999999999983E-2</v>
      </c>
      <c r="M22" s="3">
        <f t="shared" si="3"/>
        <v>6.2666666666666622</v>
      </c>
      <c r="N22" s="7">
        <f t="shared" si="4"/>
        <v>-1.4000000000000494</v>
      </c>
      <c r="O22" s="7">
        <f t="shared" si="5"/>
        <v>0.14789999999999992</v>
      </c>
      <c r="P22" s="7">
        <f t="shared" si="6"/>
        <v>0.14069999999999983</v>
      </c>
    </row>
    <row r="23" spans="3:16" x14ac:dyDescent="0.35">
      <c r="C23" s="3">
        <v>7</v>
      </c>
      <c r="D23" s="7">
        <v>2.6671999999999998</v>
      </c>
      <c r="E23" s="7">
        <v>2.6587999999999998</v>
      </c>
      <c r="F23" s="7">
        <v>2.4943</v>
      </c>
      <c r="G23" s="7">
        <v>2.4943</v>
      </c>
      <c r="H23" s="7">
        <f t="shared" si="0"/>
        <v>0.16449999999999987</v>
      </c>
      <c r="I23" s="3">
        <v>0.35</v>
      </c>
      <c r="J23" s="3">
        <f t="shared" si="1"/>
        <v>0.31303520459399975</v>
      </c>
      <c r="K23" s="7">
        <v>0.32869999999999999</v>
      </c>
      <c r="L23" s="7">
        <f t="shared" si="2"/>
        <v>2.1299999999999986E-2</v>
      </c>
      <c r="M23" s="3">
        <f t="shared" si="3"/>
        <v>6.0857142857142819</v>
      </c>
      <c r="N23" s="7">
        <f t="shared" si="4"/>
        <v>-1.2000000000000899</v>
      </c>
      <c r="O23" s="7">
        <f t="shared" si="5"/>
        <v>0.17289999999999983</v>
      </c>
      <c r="P23" s="7">
        <f t="shared" si="6"/>
        <v>0.16449999999999987</v>
      </c>
    </row>
    <row r="24" spans="3:16" x14ac:dyDescent="0.35">
      <c r="C24" s="3">
        <v>8</v>
      </c>
      <c r="D24" s="7">
        <v>2.6920999999999999</v>
      </c>
      <c r="E24" s="7">
        <v>2.6825000000000001</v>
      </c>
      <c r="F24" s="7">
        <v>2.4944000000000002</v>
      </c>
      <c r="G24" s="7">
        <v>2.4944000000000002</v>
      </c>
      <c r="H24" s="7">
        <f t="shared" si="0"/>
        <v>0.18809999999999993</v>
      </c>
      <c r="I24" s="3">
        <v>0.4</v>
      </c>
      <c r="J24" s="3">
        <f t="shared" si="1"/>
        <v>0.35794481449319987</v>
      </c>
      <c r="K24" s="7">
        <v>0.37630000000000002</v>
      </c>
      <c r="L24" s="7">
        <f t="shared" si="2"/>
        <v>2.3699999999999999E-2</v>
      </c>
      <c r="M24" s="3">
        <f t="shared" si="3"/>
        <v>5.9249999999999998</v>
      </c>
      <c r="N24" s="7">
        <f t="shared" si="4"/>
        <v>-1.1500000000001231</v>
      </c>
      <c r="O24" s="7">
        <f t="shared" si="5"/>
        <v>0.19769999999999976</v>
      </c>
      <c r="P24" s="7">
        <f t="shared" si="6"/>
        <v>0.18809999999999993</v>
      </c>
    </row>
    <row r="25" spans="3:16" x14ac:dyDescent="0.35">
      <c r="C25" s="3">
        <v>9</v>
      </c>
      <c r="D25" s="7">
        <v>2.7172999999999998</v>
      </c>
      <c r="E25" s="7">
        <v>2.7063999999999999</v>
      </c>
      <c r="F25" s="7">
        <v>2.4944000000000002</v>
      </c>
      <c r="G25" s="7">
        <v>2.4944000000000002</v>
      </c>
      <c r="H25" s="7">
        <f t="shared" si="0"/>
        <v>0.21199999999999974</v>
      </c>
      <c r="I25" s="3">
        <v>0.45</v>
      </c>
      <c r="J25" s="3">
        <f t="shared" si="1"/>
        <v>0.4034253092639995</v>
      </c>
      <c r="K25" s="7">
        <v>0.4239</v>
      </c>
      <c r="L25" s="7">
        <f t="shared" si="2"/>
        <v>2.6100000000000012E-2</v>
      </c>
      <c r="M25" s="3">
        <f t="shared" si="3"/>
        <v>5.8000000000000025</v>
      </c>
      <c r="N25" s="7">
        <f t="shared" si="4"/>
        <v>-0.93333333333348956</v>
      </c>
      <c r="O25" s="7">
        <f t="shared" si="5"/>
        <v>0.22289999999999965</v>
      </c>
      <c r="P25" s="7">
        <f t="shared" si="6"/>
        <v>0.21199999999999974</v>
      </c>
    </row>
    <row r="26" spans="3:16" x14ac:dyDescent="0.35">
      <c r="C26" s="3">
        <v>10</v>
      </c>
      <c r="D26" s="7">
        <v>2.7421000000000002</v>
      </c>
      <c r="E26" s="7">
        <v>2.7302</v>
      </c>
      <c r="F26" s="7">
        <v>2.4944000000000002</v>
      </c>
      <c r="G26" s="7">
        <v>2.4944000000000002</v>
      </c>
      <c r="H26" s="7">
        <f t="shared" si="0"/>
        <v>0.23579999999999979</v>
      </c>
      <c r="I26" s="3">
        <v>0.5</v>
      </c>
      <c r="J26" s="3">
        <f t="shared" si="1"/>
        <v>0.44871550907759961</v>
      </c>
      <c r="K26" s="7">
        <v>0.47149999999999997</v>
      </c>
      <c r="L26" s="7">
        <f t="shared" si="2"/>
        <v>2.8500000000000025E-2</v>
      </c>
      <c r="M26" s="3">
        <f t="shared" si="3"/>
        <v>5.7000000000000046</v>
      </c>
      <c r="N26" s="7">
        <f t="shared" si="4"/>
        <v>-0.91999999999998749</v>
      </c>
      <c r="O26" s="7">
        <f t="shared" si="5"/>
        <v>0.24770000000000003</v>
      </c>
      <c r="P26" s="7">
        <f t="shared" si="6"/>
        <v>0.23579999999999979</v>
      </c>
    </row>
    <row r="27" spans="3:16" x14ac:dyDescent="0.35">
      <c r="D27" s="11" t="s">
        <v>20</v>
      </c>
      <c r="F27" s="11" t="s">
        <v>21</v>
      </c>
      <c r="H27" s="2"/>
      <c r="I27" s="2"/>
      <c r="J27" s="2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C765-75F2-4EFE-AC8B-2868F72A3DB3}">
  <dimension ref="B1:M34"/>
  <sheetViews>
    <sheetView tabSelected="1" topLeftCell="B12" zoomScale="85" zoomScaleNormal="85" workbookViewId="0">
      <selection activeCell="J21" sqref="J21"/>
    </sheetView>
  </sheetViews>
  <sheetFormatPr defaultRowHeight="14.5" x14ac:dyDescent="0.35"/>
  <cols>
    <col min="2" max="2" width="7.08984375" bestFit="1" customWidth="1"/>
    <col min="3" max="3" width="16.54296875" bestFit="1" customWidth="1"/>
    <col min="4" max="4" width="16.1796875" bestFit="1" customWidth="1"/>
    <col min="5" max="6" width="11.7265625" customWidth="1"/>
    <col min="7" max="7" width="11.6328125" style="1" bestFit="1" customWidth="1"/>
    <col min="8" max="8" width="13.36328125" bestFit="1" customWidth="1"/>
    <col min="9" max="9" width="17.1796875" bestFit="1" customWidth="1"/>
    <col min="10" max="10" width="17.453125" bestFit="1" customWidth="1"/>
    <col min="11" max="11" width="17.453125" customWidth="1"/>
  </cols>
  <sheetData>
    <row r="1" spans="2:13" ht="18.5" x14ac:dyDescent="0.45">
      <c r="B1" s="12" t="s">
        <v>26</v>
      </c>
      <c r="C1" s="12"/>
    </row>
    <row r="4" spans="2:13" x14ac:dyDescent="0.35">
      <c r="C4" s="15" t="s">
        <v>4</v>
      </c>
      <c r="D4" s="15" t="s">
        <v>5</v>
      </c>
    </row>
    <row r="5" spans="2:13" x14ac:dyDescent="0.35">
      <c r="B5" s="17" t="s">
        <v>0</v>
      </c>
      <c r="C5" s="18" t="s">
        <v>22</v>
      </c>
      <c r="D5" s="18" t="s">
        <v>23</v>
      </c>
      <c r="E5" s="17" t="s">
        <v>1</v>
      </c>
      <c r="F5" s="17" t="s">
        <v>27</v>
      </c>
      <c r="G5" s="17" t="s">
        <v>2</v>
      </c>
      <c r="H5" s="18" t="s">
        <v>3</v>
      </c>
      <c r="I5" s="17" t="s">
        <v>24</v>
      </c>
      <c r="J5" s="17" t="s">
        <v>25</v>
      </c>
      <c r="K5" s="17" t="s">
        <v>28</v>
      </c>
      <c r="L5" s="17" t="s">
        <v>29</v>
      </c>
      <c r="M5" s="17" t="s">
        <v>30</v>
      </c>
    </row>
    <row r="6" spans="2:13" s="13" customFormat="1" x14ac:dyDescent="0.35">
      <c r="B6" s="19">
        <v>-50</v>
      </c>
      <c r="C6" s="20">
        <v>1.2462</v>
      </c>
      <c r="D6" s="20">
        <v>2.4950999999999999</v>
      </c>
      <c r="E6" s="20">
        <f>C6-D6</f>
        <v>-1.2488999999999999</v>
      </c>
      <c r="F6" s="20">
        <f>2*E6</f>
        <v>-2.4977999999999998</v>
      </c>
      <c r="G6" s="19">
        <v>-2.5</v>
      </c>
      <c r="H6" s="20">
        <v>-1.5911999999999999</v>
      </c>
      <c r="I6" s="20">
        <f>G6-H6</f>
        <v>-0.90880000000000005</v>
      </c>
      <c r="J6" s="19">
        <f t="shared" ref="J6:J13" si="0">(I6/G6)*100</f>
        <v>36.352000000000004</v>
      </c>
      <c r="K6" s="19">
        <v>2.0084</v>
      </c>
      <c r="L6" s="21">
        <v>4.09</v>
      </c>
      <c r="M6" s="21">
        <v>2.4948999999999999</v>
      </c>
    </row>
    <row r="7" spans="2:13" s="13" customFormat="1" x14ac:dyDescent="0.35">
      <c r="B7" s="19">
        <v>-45</v>
      </c>
      <c r="C7" s="20">
        <v>1.3712</v>
      </c>
      <c r="D7" s="20">
        <v>2.4950000000000001</v>
      </c>
      <c r="E7" s="20">
        <f t="shared" ref="E7:E32" si="1">C7-D7</f>
        <v>-1.1238000000000001</v>
      </c>
      <c r="F7" s="20">
        <f t="shared" ref="F7:F32" si="2">2*E7</f>
        <v>-2.2476000000000003</v>
      </c>
      <c r="G7" s="19">
        <v>-2.25</v>
      </c>
      <c r="H7" s="20">
        <v>-1.5934999999999999</v>
      </c>
      <c r="I7" s="20">
        <f t="shared" ref="I7:I13" si="3">G7-H7</f>
        <v>-0.65650000000000008</v>
      </c>
      <c r="J7" s="19">
        <f t="shared" si="0"/>
        <v>29.177777777777781</v>
      </c>
      <c r="K7" s="19">
        <v>2.0084</v>
      </c>
      <c r="L7" s="21">
        <v>4.09</v>
      </c>
      <c r="M7" s="21">
        <v>2.4948999999999999</v>
      </c>
    </row>
    <row r="8" spans="2:13" s="13" customFormat="1" x14ac:dyDescent="0.35">
      <c r="B8" s="19">
        <v>-40</v>
      </c>
      <c r="C8" s="20">
        <v>1.4961</v>
      </c>
      <c r="D8" s="20">
        <v>2.4950000000000001</v>
      </c>
      <c r="E8" s="20">
        <f t="shared" si="1"/>
        <v>-0.99890000000000012</v>
      </c>
      <c r="F8" s="20">
        <f t="shared" si="2"/>
        <v>-1.9978000000000002</v>
      </c>
      <c r="G8" s="19">
        <v>-2</v>
      </c>
      <c r="H8" s="20">
        <v>-1.5949</v>
      </c>
      <c r="I8" s="20">
        <f t="shared" si="3"/>
        <v>-0.40510000000000002</v>
      </c>
      <c r="J8" s="19">
        <f t="shared" si="0"/>
        <v>20.255000000000003</v>
      </c>
      <c r="K8" s="19">
        <v>2.0087999999999999</v>
      </c>
      <c r="L8" s="21">
        <v>4.0904999999999996</v>
      </c>
      <c r="M8" s="21">
        <v>2.4948999999999999</v>
      </c>
    </row>
    <row r="9" spans="2:13" s="13" customFormat="1" x14ac:dyDescent="0.35">
      <c r="B9" s="19">
        <v>-35</v>
      </c>
      <c r="C9" s="20">
        <v>1.6212</v>
      </c>
      <c r="D9" s="20">
        <v>2.4946000000000002</v>
      </c>
      <c r="E9" s="20">
        <f t="shared" si="1"/>
        <v>-0.87340000000000018</v>
      </c>
      <c r="F9" s="20">
        <f t="shared" si="2"/>
        <v>-1.7468000000000004</v>
      </c>
      <c r="G9" s="19">
        <v>-1.75</v>
      </c>
      <c r="H9" s="20">
        <v>-1.5947</v>
      </c>
      <c r="I9" s="20">
        <f t="shared" si="3"/>
        <v>-0.15529999999999999</v>
      </c>
      <c r="J9" s="19">
        <f t="shared" si="0"/>
        <v>8.8742857142857137</v>
      </c>
      <c r="K9" s="19">
        <v>2.0084</v>
      </c>
      <c r="L9" s="21">
        <v>4.0904999999999996</v>
      </c>
      <c r="M9" s="21">
        <v>2.4948999999999999</v>
      </c>
    </row>
    <row r="10" spans="2:13" x14ac:dyDescent="0.35">
      <c r="B10" s="19">
        <v>-30</v>
      </c>
      <c r="C10" s="20">
        <v>1.746</v>
      </c>
      <c r="D10" s="20">
        <v>2.4948999999999999</v>
      </c>
      <c r="E10" s="20">
        <f t="shared" si="1"/>
        <v>-0.7488999999999999</v>
      </c>
      <c r="F10" s="20">
        <f>2*E10</f>
        <v>-1.4977999999999998</v>
      </c>
      <c r="G10" s="19">
        <v>-1.5</v>
      </c>
      <c r="H10" s="20">
        <v>-1.4972000000000001</v>
      </c>
      <c r="I10" s="20">
        <f t="shared" si="3"/>
        <v>-2.7999999999999137E-3</v>
      </c>
      <c r="J10" s="19">
        <f t="shared" si="0"/>
        <v>0.18666666666666093</v>
      </c>
      <c r="K10" s="19">
        <v>2.0230000000000001</v>
      </c>
      <c r="L10" s="21">
        <v>3.9929999999999999</v>
      </c>
      <c r="M10" s="21">
        <v>2.4956999999999998</v>
      </c>
    </row>
    <row r="11" spans="2:13" x14ac:dyDescent="0.35">
      <c r="B11" s="19">
        <v>-25</v>
      </c>
      <c r="C11" s="20">
        <v>1.8712</v>
      </c>
      <c r="D11" s="20">
        <v>2.4948999999999999</v>
      </c>
      <c r="E11" s="20">
        <f t="shared" si="1"/>
        <v>-0.62369999999999992</v>
      </c>
      <c r="F11" s="20">
        <f t="shared" si="2"/>
        <v>-1.2473999999999998</v>
      </c>
      <c r="G11" s="19">
        <v>-1.25</v>
      </c>
      <c r="H11" s="20">
        <v>-1.2475000000000001</v>
      </c>
      <c r="I11" s="20">
        <f t="shared" si="3"/>
        <v>-2.4999999999999467E-3</v>
      </c>
      <c r="J11" s="19">
        <f t="shared" si="0"/>
        <v>0.19999999999999576</v>
      </c>
      <c r="K11" s="19">
        <v>2.0270000000000001</v>
      </c>
      <c r="L11" s="21">
        <v>3.7433000000000001</v>
      </c>
      <c r="M11" s="21">
        <v>2.4956999999999998</v>
      </c>
    </row>
    <row r="12" spans="2:13" x14ac:dyDescent="0.35">
      <c r="B12" s="19">
        <v>-20</v>
      </c>
      <c r="C12" s="20">
        <v>1.996</v>
      </c>
      <c r="D12" s="20">
        <v>2.4948999999999999</v>
      </c>
      <c r="E12" s="20">
        <f t="shared" si="1"/>
        <v>-0.4988999999999999</v>
      </c>
      <c r="F12" s="20">
        <f t="shared" si="2"/>
        <v>-0.9977999999999998</v>
      </c>
      <c r="G12" s="19">
        <v>-1</v>
      </c>
      <c r="H12" s="20">
        <v>-0.99809999999999999</v>
      </c>
      <c r="I12" s="20">
        <f t="shared" si="3"/>
        <v>-1.9000000000000128E-3</v>
      </c>
      <c r="J12" s="19">
        <f t="shared" si="0"/>
        <v>0.19000000000000128</v>
      </c>
      <c r="K12" s="19"/>
      <c r="L12" s="21"/>
      <c r="M12" s="21"/>
    </row>
    <row r="13" spans="2:13" x14ac:dyDescent="0.35">
      <c r="B13" s="19">
        <v>-15</v>
      </c>
      <c r="C13" s="20">
        <v>2.1202000000000001</v>
      </c>
      <c r="D13" s="20">
        <v>2.4950999999999999</v>
      </c>
      <c r="E13" s="20">
        <f t="shared" si="1"/>
        <v>-0.37489999999999979</v>
      </c>
      <c r="F13" s="20">
        <f t="shared" si="2"/>
        <v>-0.74979999999999958</v>
      </c>
      <c r="G13" s="19">
        <v>-0.75</v>
      </c>
      <c r="H13" s="20">
        <v>-0.75029999999999997</v>
      </c>
      <c r="I13" s="20">
        <f t="shared" si="3"/>
        <v>2.9999999999996696E-4</v>
      </c>
      <c r="J13" s="19">
        <f t="shared" si="0"/>
        <v>-3.9999999999995595E-2</v>
      </c>
      <c r="K13" s="19"/>
      <c r="L13" s="21"/>
      <c r="M13" s="21"/>
    </row>
    <row r="14" spans="2:13" x14ac:dyDescent="0.35">
      <c r="B14" s="19">
        <v>-10</v>
      </c>
      <c r="C14" s="20">
        <v>2.242</v>
      </c>
      <c r="D14" s="20">
        <v>2.4942000000000002</v>
      </c>
      <c r="E14" s="20">
        <f t="shared" si="1"/>
        <v>-0.2522000000000002</v>
      </c>
      <c r="F14" s="20">
        <f t="shared" si="2"/>
        <v>-0.5044000000000004</v>
      </c>
      <c r="G14" s="19">
        <v>-0.5</v>
      </c>
      <c r="H14" s="20">
        <v>-0.50439999999999996</v>
      </c>
      <c r="I14" s="20">
        <f t="shared" ref="I14:I24" si="4">G14-H14</f>
        <v>4.3999999999999595E-3</v>
      </c>
      <c r="J14" s="19">
        <f t="shared" ref="J14:J24" si="5">(I14/G14)*100</f>
        <v>-0.8799999999999919</v>
      </c>
      <c r="K14" s="19">
        <v>2.0339999999999998</v>
      </c>
      <c r="L14" s="21">
        <v>2.9940000000000002</v>
      </c>
      <c r="M14" s="21">
        <v>2.4950999999999999</v>
      </c>
    </row>
    <row r="15" spans="2:13" x14ac:dyDescent="0.35">
      <c r="B15" s="19">
        <v>-8</v>
      </c>
      <c r="C15" s="20">
        <v>2.2919999999999998</v>
      </c>
      <c r="D15" s="20">
        <v>2.4941</v>
      </c>
      <c r="E15" s="20">
        <f t="shared" si="1"/>
        <v>-0.20210000000000017</v>
      </c>
      <c r="F15" s="20">
        <f t="shared" si="2"/>
        <v>-0.40420000000000034</v>
      </c>
      <c r="G15" s="19">
        <v>-0.4</v>
      </c>
      <c r="H15" s="20">
        <v>-0.40425</v>
      </c>
      <c r="I15" s="20">
        <f t="shared" si="4"/>
        <v>4.249999999999976E-3</v>
      </c>
      <c r="J15" s="19">
        <f t="shared" si="5"/>
        <v>-1.062499999999994</v>
      </c>
      <c r="K15" s="19"/>
      <c r="L15" s="21"/>
      <c r="M15" s="21"/>
    </row>
    <row r="16" spans="2:13" x14ac:dyDescent="0.35">
      <c r="B16" s="19">
        <v>-6</v>
      </c>
      <c r="C16" s="20">
        <v>2.3420000000000001</v>
      </c>
      <c r="D16" s="20">
        <v>2.4941</v>
      </c>
      <c r="E16" s="20">
        <f t="shared" si="1"/>
        <v>-0.1520999999999999</v>
      </c>
      <c r="F16" s="20">
        <f t="shared" si="2"/>
        <v>-0.3041999999999998</v>
      </c>
      <c r="G16" s="19">
        <v>-0.3</v>
      </c>
      <c r="H16" s="20">
        <v>-0.30413000000000001</v>
      </c>
      <c r="I16" s="20">
        <f t="shared" si="4"/>
        <v>4.1300000000000225E-3</v>
      </c>
      <c r="J16" s="19">
        <f t="shared" si="5"/>
        <v>-1.3766666666666743</v>
      </c>
      <c r="K16" s="19"/>
      <c r="L16" s="21"/>
      <c r="M16" s="21"/>
    </row>
    <row r="17" spans="2:13" x14ac:dyDescent="0.35">
      <c r="B17" s="19">
        <v>-4</v>
      </c>
      <c r="C17" s="20">
        <v>2.3919999999999999</v>
      </c>
      <c r="D17" s="20">
        <v>2.4941</v>
      </c>
      <c r="E17" s="20">
        <f t="shared" si="1"/>
        <v>-0.10210000000000008</v>
      </c>
      <c r="F17" s="20">
        <f t="shared" si="2"/>
        <v>-0.20420000000000016</v>
      </c>
      <c r="G17" s="19">
        <v>-0.2</v>
      </c>
      <c r="H17" s="20">
        <v>-0.20399999999999999</v>
      </c>
      <c r="I17" s="20">
        <f t="shared" si="4"/>
        <v>3.9999999999999758E-3</v>
      </c>
      <c r="J17" s="19">
        <f t="shared" si="5"/>
        <v>-1.999999999999988</v>
      </c>
      <c r="K17" s="19"/>
      <c r="L17" s="21"/>
      <c r="M17" s="21"/>
    </row>
    <row r="18" spans="2:13" x14ac:dyDescent="0.35">
      <c r="B18" s="19">
        <v>-2</v>
      </c>
      <c r="C18" s="20">
        <v>2.4420999999999999</v>
      </c>
      <c r="D18" s="20">
        <v>2.4940000000000002</v>
      </c>
      <c r="E18" s="20">
        <f t="shared" si="1"/>
        <v>-5.1900000000000279E-2</v>
      </c>
      <c r="F18" s="20">
        <f t="shared" si="2"/>
        <v>-0.10380000000000056</v>
      </c>
      <c r="G18" s="19">
        <v>-0.1</v>
      </c>
      <c r="H18" s="20">
        <v>-0.104</v>
      </c>
      <c r="I18" s="20">
        <f t="shared" si="4"/>
        <v>3.9999999999999897E-3</v>
      </c>
      <c r="J18" s="19">
        <f t="shared" si="5"/>
        <v>-3.9999999999999898</v>
      </c>
      <c r="K18" s="19"/>
      <c r="L18" s="21"/>
      <c r="M18" s="21"/>
    </row>
    <row r="19" spans="2:13" x14ac:dyDescent="0.35">
      <c r="B19" s="19">
        <v>0</v>
      </c>
      <c r="C19" s="20">
        <v>2.492</v>
      </c>
      <c r="D19" s="20">
        <v>2.4940000000000002</v>
      </c>
      <c r="E19" s="20">
        <f t="shared" si="1"/>
        <v>-2.0000000000002238E-3</v>
      </c>
      <c r="F19" s="20">
        <f t="shared" si="2"/>
        <v>-4.0000000000004476E-3</v>
      </c>
      <c r="G19" s="19">
        <v>0</v>
      </c>
      <c r="H19" s="20">
        <v>-4.3E-3</v>
      </c>
      <c r="I19" s="20">
        <f t="shared" si="4"/>
        <v>4.3E-3</v>
      </c>
      <c r="J19" s="19" t="e">
        <f t="shared" si="5"/>
        <v>#DIV/0!</v>
      </c>
      <c r="K19" s="19">
        <v>2.0394000000000001</v>
      </c>
      <c r="L19" s="19">
        <v>2.5</v>
      </c>
      <c r="M19" s="19">
        <v>2.4948000000000001</v>
      </c>
    </row>
    <row r="20" spans="2:13" x14ac:dyDescent="0.35">
      <c r="B20" s="19">
        <v>2</v>
      </c>
      <c r="C20" s="20">
        <v>2.5423</v>
      </c>
      <c r="D20" s="20">
        <v>2.4940000000000002</v>
      </c>
      <c r="E20" s="20">
        <f t="shared" si="1"/>
        <v>4.8299999999999788E-2</v>
      </c>
      <c r="F20" s="20">
        <f t="shared" si="2"/>
        <v>9.6599999999999575E-2</v>
      </c>
      <c r="G20" s="19">
        <v>0.1</v>
      </c>
      <c r="H20" s="20">
        <v>9.6299999999999997E-2</v>
      </c>
      <c r="I20" s="20">
        <f t="shared" si="4"/>
        <v>3.7000000000000088E-3</v>
      </c>
      <c r="J20" s="19">
        <f t="shared" si="5"/>
        <v>3.7000000000000091</v>
      </c>
      <c r="K20" s="19"/>
      <c r="L20" s="21"/>
      <c r="M20" s="21"/>
    </row>
    <row r="21" spans="2:13" x14ac:dyDescent="0.35">
      <c r="B21" s="19">
        <v>4</v>
      </c>
      <c r="C21" s="20">
        <v>2.5920999999999998</v>
      </c>
      <c r="D21" s="20">
        <v>2.4940000000000002</v>
      </c>
      <c r="E21" s="20">
        <f t="shared" si="1"/>
        <v>9.8099999999999632E-2</v>
      </c>
      <c r="F21" s="20">
        <f t="shared" si="2"/>
        <v>0.19619999999999926</v>
      </c>
      <c r="G21" s="19">
        <v>0.2</v>
      </c>
      <c r="H21" s="20">
        <v>0.19639999999999999</v>
      </c>
      <c r="I21" s="20">
        <f t="shared" si="4"/>
        <v>3.6000000000000199E-3</v>
      </c>
      <c r="J21" s="19">
        <f t="shared" si="5"/>
        <v>1.80000000000001</v>
      </c>
      <c r="K21" s="19"/>
      <c r="L21" s="21"/>
      <c r="M21" s="21"/>
    </row>
    <row r="22" spans="2:13" x14ac:dyDescent="0.35">
      <c r="B22" s="19">
        <v>6</v>
      </c>
      <c r="C22" s="20">
        <v>2.6419999999999999</v>
      </c>
      <c r="D22" s="20">
        <v>2.4941</v>
      </c>
      <c r="E22" s="20">
        <f t="shared" si="1"/>
        <v>0.14789999999999992</v>
      </c>
      <c r="F22" s="20">
        <f t="shared" si="2"/>
        <v>0.29579999999999984</v>
      </c>
      <c r="G22" s="19">
        <v>0.3</v>
      </c>
      <c r="H22" s="20">
        <v>0.29620000000000002</v>
      </c>
      <c r="I22" s="20">
        <f t="shared" si="4"/>
        <v>3.7999999999999701E-3</v>
      </c>
      <c r="J22" s="19">
        <f t="shared" si="5"/>
        <v>1.2666666666666568</v>
      </c>
      <c r="K22" s="19"/>
      <c r="L22" s="21"/>
      <c r="M22" s="21"/>
    </row>
    <row r="23" spans="2:13" x14ac:dyDescent="0.35">
      <c r="B23" s="19">
        <v>8</v>
      </c>
      <c r="C23" s="20">
        <v>2.6920000000000002</v>
      </c>
      <c r="D23" s="20">
        <v>2.4941</v>
      </c>
      <c r="E23" s="20">
        <f t="shared" si="1"/>
        <v>0.19790000000000019</v>
      </c>
      <c r="F23" s="20">
        <f t="shared" si="2"/>
        <v>0.39580000000000037</v>
      </c>
      <c r="G23" s="19">
        <v>0.4</v>
      </c>
      <c r="H23" s="20">
        <v>0.39600000000000002</v>
      </c>
      <c r="I23" s="20">
        <f t="shared" si="4"/>
        <v>4.0000000000000036E-3</v>
      </c>
      <c r="J23" s="19">
        <f t="shared" si="5"/>
        <v>1.0000000000000009</v>
      </c>
      <c r="K23" s="19"/>
      <c r="L23" s="21"/>
      <c r="M23" s="21"/>
    </row>
    <row r="24" spans="2:13" x14ac:dyDescent="0.35">
      <c r="B24" s="19">
        <v>10</v>
      </c>
      <c r="C24" s="20">
        <v>2.7421000000000002</v>
      </c>
      <c r="D24" s="20">
        <v>2.4941</v>
      </c>
      <c r="E24" s="20">
        <f t="shared" si="1"/>
        <v>0.24800000000000022</v>
      </c>
      <c r="F24" s="20">
        <f t="shared" si="2"/>
        <v>0.49600000000000044</v>
      </c>
      <c r="G24" s="19">
        <v>0.5</v>
      </c>
      <c r="H24" s="20">
        <v>0.49569999999999997</v>
      </c>
      <c r="I24" s="20">
        <f t="shared" si="4"/>
        <v>4.300000000000026E-3</v>
      </c>
      <c r="J24" s="19">
        <f t="shared" si="5"/>
        <v>0.8600000000000052</v>
      </c>
      <c r="K24" s="19">
        <v>2.0394000000000001</v>
      </c>
      <c r="L24" s="21"/>
      <c r="M24" s="21"/>
    </row>
    <row r="25" spans="2:13" x14ac:dyDescent="0.35">
      <c r="B25" s="19">
        <v>15</v>
      </c>
      <c r="C25" s="19">
        <v>2.8650000000000002</v>
      </c>
      <c r="D25" s="20">
        <v>2.4942000000000002</v>
      </c>
      <c r="E25" s="20">
        <f t="shared" si="1"/>
        <v>0.37080000000000002</v>
      </c>
      <c r="F25" s="20">
        <f t="shared" si="2"/>
        <v>0.74160000000000004</v>
      </c>
      <c r="G25" s="19">
        <v>0.75</v>
      </c>
      <c r="H25" s="19">
        <v>0.74180000000000001</v>
      </c>
      <c r="I25" s="20">
        <f t="shared" ref="I25:I32" si="6">G25-H25</f>
        <v>8.1999999999999851E-3</v>
      </c>
      <c r="J25" s="19">
        <f t="shared" ref="J25:J32" si="7">(I25/G25)*100</f>
        <v>1.0933333333333315</v>
      </c>
      <c r="K25" s="19"/>
      <c r="L25" s="21"/>
      <c r="M25" s="21"/>
    </row>
    <row r="26" spans="2:13" x14ac:dyDescent="0.35">
      <c r="B26" s="19">
        <v>20</v>
      </c>
      <c r="C26" s="19">
        <v>2.9889999999999999</v>
      </c>
      <c r="D26" s="20">
        <v>2.4942000000000002</v>
      </c>
      <c r="E26" s="20">
        <f t="shared" si="1"/>
        <v>0.49479999999999968</v>
      </c>
      <c r="F26" s="20">
        <f t="shared" si="2"/>
        <v>0.98959999999999937</v>
      </c>
      <c r="G26" s="19">
        <v>1</v>
      </c>
      <c r="H26" s="19">
        <v>0.98929999999999996</v>
      </c>
      <c r="I26" s="20">
        <f t="shared" si="6"/>
        <v>1.0700000000000043E-2</v>
      </c>
      <c r="J26" s="19">
        <f t="shared" si="7"/>
        <v>1.0700000000000043</v>
      </c>
      <c r="K26" s="19"/>
      <c r="L26" s="21"/>
      <c r="M26" s="21"/>
    </row>
    <row r="27" spans="2:13" x14ac:dyDescent="0.35">
      <c r="B27" s="19">
        <v>25</v>
      </c>
      <c r="C27" s="19">
        <v>3.1135000000000002</v>
      </c>
      <c r="D27" s="20">
        <v>2.4943</v>
      </c>
      <c r="E27" s="20">
        <f t="shared" si="1"/>
        <v>0.61920000000000019</v>
      </c>
      <c r="F27" s="20">
        <f t="shared" si="2"/>
        <v>1.2384000000000004</v>
      </c>
      <c r="G27" s="19">
        <v>1.25</v>
      </c>
      <c r="H27" s="19">
        <v>1.2370000000000001</v>
      </c>
      <c r="I27" s="20">
        <f t="shared" si="6"/>
        <v>1.2999999999999901E-2</v>
      </c>
      <c r="J27" s="19">
        <f t="shared" si="7"/>
        <v>1.039999999999992</v>
      </c>
      <c r="K27" s="19">
        <v>2.0390000000000001</v>
      </c>
      <c r="L27" s="21"/>
      <c r="M27" s="21"/>
    </row>
    <row r="28" spans="2:13" x14ac:dyDescent="0.35">
      <c r="B28" s="19">
        <v>30</v>
      </c>
      <c r="C28" s="19">
        <v>3.2389999999999999</v>
      </c>
      <c r="D28" s="20">
        <v>2.4946000000000002</v>
      </c>
      <c r="E28" s="20">
        <f t="shared" si="1"/>
        <v>0.74439999999999973</v>
      </c>
      <c r="F28" s="20">
        <f t="shared" si="2"/>
        <v>1.4887999999999995</v>
      </c>
      <c r="G28" s="19">
        <v>1.5</v>
      </c>
      <c r="H28" s="19">
        <v>1.4883</v>
      </c>
      <c r="I28" s="20">
        <f t="shared" si="6"/>
        <v>1.1700000000000044E-2</v>
      </c>
      <c r="J28" s="19">
        <f t="shared" si="7"/>
        <v>0.78000000000000291</v>
      </c>
      <c r="K28" s="19"/>
      <c r="L28" s="21"/>
      <c r="M28" s="21"/>
    </row>
    <row r="29" spans="2:13" x14ac:dyDescent="0.35">
      <c r="B29" s="19">
        <v>35</v>
      </c>
      <c r="C29" s="19">
        <v>3.3639999999999999</v>
      </c>
      <c r="D29" s="20">
        <v>2.4946999999999999</v>
      </c>
      <c r="E29" s="20">
        <f t="shared" si="1"/>
        <v>0.86929999999999996</v>
      </c>
      <c r="F29" s="20">
        <f t="shared" si="2"/>
        <v>1.7385999999999999</v>
      </c>
      <c r="G29" s="19">
        <v>1.75</v>
      </c>
      <c r="H29" s="19">
        <v>1.7378</v>
      </c>
      <c r="I29" s="20">
        <f t="shared" si="6"/>
        <v>1.2199999999999989E-2</v>
      </c>
      <c r="J29" s="19">
        <f t="shared" si="7"/>
        <v>0.69714285714285651</v>
      </c>
      <c r="K29" s="19"/>
      <c r="L29" s="21"/>
      <c r="M29" s="21"/>
    </row>
    <row r="30" spans="2:13" x14ac:dyDescent="0.35">
      <c r="B30" s="19">
        <v>40</v>
      </c>
      <c r="C30" s="19">
        <v>3.4891999999999999</v>
      </c>
      <c r="D30" s="20">
        <v>2.4948999999999999</v>
      </c>
      <c r="E30" s="20">
        <f t="shared" si="1"/>
        <v>0.99429999999999996</v>
      </c>
      <c r="F30" s="20">
        <f t="shared" si="2"/>
        <v>1.9885999999999999</v>
      </c>
      <c r="G30" s="19">
        <v>2</v>
      </c>
      <c r="H30" s="19">
        <v>1.9884999999999999</v>
      </c>
      <c r="I30" s="20">
        <f t="shared" si="6"/>
        <v>1.1500000000000066E-2</v>
      </c>
      <c r="J30" s="19">
        <f t="shared" si="7"/>
        <v>0.57500000000000329</v>
      </c>
      <c r="K30" s="19">
        <v>2.0299999999999998</v>
      </c>
      <c r="L30" s="21"/>
      <c r="M30" s="21"/>
    </row>
    <row r="31" spans="2:13" x14ac:dyDescent="0.35">
      <c r="B31" s="19">
        <v>45</v>
      </c>
      <c r="C31" s="19">
        <v>3.6145</v>
      </c>
      <c r="D31" s="20">
        <v>2.4950000000000001</v>
      </c>
      <c r="E31" s="20">
        <f t="shared" si="1"/>
        <v>1.1194999999999999</v>
      </c>
      <c r="F31" s="20">
        <f t="shared" si="2"/>
        <v>2.2389999999999999</v>
      </c>
      <c r="G31" s="19">
        <v>2.25</v>
      </c>
      <c r="H31" s="19">
        <v>2.2385000000000002</v>
      </c>
      <c r="I31" s="20">
        <f t="shared" si="6"/>
        <v>1.1499999999999844E-2</v>
      </c>
      <c r="J31" s="19">
        <f t="shared" si="7"/>
        <v>0.51111111111110419</v>
      </c>
      <c r="K31" s="19"/>
      <c r="L31" s="21"/>
      <c r="M31" s="21"/>
    </row>
    <row r="32" spans="2:13" x14ac:dyDescent="0.35">
      <c r="B32" s="19">
        <v>50</v>
      </c>
      <c r="C32" s="19">
        <v>3.7397</v>
      </c>
      <c r="D32" s="20">
        <v>2.4952000000000001</v>
      </c>
      <c r="E32" s="20">
        <f t="shared" si="1"/>
        <v>1.2444999999999999</v>
      </c>
      <c r="F32" s="20">
        <f t="shared" si="2"/>
        <v>2.4889999999999999</v>
      </c>
      <c r="G32" s="19">
        <v>2.5</v>
      </c>
      <c r="H32" s="19">
        <v>2.4731999999999998</v>
      </c>
      <c r="I32" s="20">
        <f t="shared" si="6"/>
        <v>2.6800000000000157E-2</v>
      </c>
      <c r="J32" s="19">
        <f t="shared" si="7"/>
        <v>1.0720000000000063</v>
      </c>
      <c r="K32" s="19">
        <v>2.02</v>
      </c>
      <c r="L32" s="21"/>
      <c r="M32" s="21"/>
    </row>
    <row r="33" spans="2:13" x14ac:dyDescent="0.35"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2"/>
    </row>
    <row r="34" spans="2:13" x14ac:dyDescent="0.35"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A327-0A3E-402F-85E2-FF0CDB51D013}">
  <dimension ref="B1:L19"/>
  <sheetViews>
    <sheetView zoomScale="85" zoomScaleNormal="85" workbookViewId="0">
      <selection activeCell="M17" sqref="M17"/>
    </sheetView>
  </sheetViews>
  <sheetFormatPr defaultRowHeight="14.5" x14ac:dyDescent="0.35"/>
  <cols>
    <col min="3" max="3" width="16.26953125" bestFit="1" customWidth="1"/>
    <col min="4" max="4" width="16" bestFit="1" customWidth="1"/>
    <col min="5" max="5" width="10.26953125" bestFit="1" customWidth="1"/>
    <col min="6" max="6" width="8.6328125" bestFit="1" customWidth="1"/>
    <col min="7" max="7" width="11.6328125" bestFit="1" customWidth="1"/>
    <col min="8" max="8" width="13.36328125" bestFit="1" customWidth="1"/>
    <col min="9" max="9" width="11.7265625" bestFit="1" customWidth="1"/>
    <col min="10" max="10" width="14.6328125" bestFit="1" customWidth="1"/>
    <col min="11" max="11" width="13.54296875" bestFit="1" customWidth="1"/>
  </cols>
  <sheetData>
    <row r="1" spans="2:12" ht="18.5" x14ac:dyDescent="0.45">
      <c r="B1" s="12" t="s">
        <v>33</v>
      </c>
      <c r="C1" s="12"/>
    </row>
    <row r="4" spans="2:12" x14ac:dyDescent="0.35">
      <c r="B4" s="17" t="s">
        <v>0</v>
      </c>
      <c r="C4" s="18" t="s">
        <v>22</v>
      </c>
      <c r="D4" s="18" t="s">
        <v>23</v>
      </c>
      <c r="E4" s="17" t="s">
        <v>1</v>
      </c>
      <c r="F4" s="17" t="s">
        <v>27</v>
      </c>
      <c r="G4" s="17" t="s">
        <v>2</v>
      </c>
      <c r="H4" s="18" t="s">
        <v>3</v>
      </c>
      <c r="I4" s="17" t="s">
        <v>24</v>
      </c>
      <c r="J4" s="17" t="s">
        <v>32</v>
      </c>
      <c r="K4" s="17" t="s">
        <v>28</v>
      </c>
    </row>
    <row r="5" spans="2:12" x14ac:dyDescent="0.35">
      <c r="B5" s="19">
        <v>-50</v>
      </c>
      <c r="C5" s="20">
        <v>1.2462</v>
      </c>
      <c r="D5" s="20">
        <v>2.4950999999999999</v>
      </c>
      <c r="E5" s="20">
        <f>C5-D5</f>
        <v>-1.2488999999999999</v>
      </c>
      <c r="F5" s="20">
        <f>2*E5</f>
        <v>-2.4977999999999998</v>
      </c>
      <c r="G5" s="19">
        <v>-2.5</v>
      </c>
      <c r="H5" s="20">
        <v>-2.3965999999999998</v>
      </c>
      <c r="I5" s="20">
        <f>G5-H5</f>
        <v>-0.10340000000000016</v>
      </c>
      <c r="J5" s="19">
        <f t="shared" ref="J5:J13" si="0">(I5/G5)*100</f>
        <v>4.1360000000000063</v>
      </c>
      <c r="K5" s="19">
        <v>2.4620000000000002</v>
      </c>
      <c r="L5" s="14"/>
    </row>
    <row r="6" spans="2:12" x14ac:dyDescent="0.35">
      <c r="B6" s="19">
        <v>-45</v>
      </c>
      <c r="C6" s="20">
        <v>1.3712</v>
      </c>
      <c r="D6" s="20">
        <v>2.4950000000000001</v>
      </c>
      <c r="E6" s="20">
        <f t="shared" ref="E6:E13" si="1">C6-D6</f>
        <v>-1.1238000000000001</v>
      </c>
      <c r="F6" s="20">
        <f t="shared" ref="F6:F8" si="2">2*E6</f>
        <v>-2.2476000000000003</v>
      </c>
      <c r="G6" s="19">
        <v>-2.25</v>
      </c>
      <c r="H6" s="20">
        <v>-2.1551999999999998</v>
      </c>
      <c r="I6" s="20">
        <f t="shared" ref="I6:I13" si="3">G6-H6</f>
        <v>-9.4800000000000217E-2</v>
      </c>
      <c r="J6" s="19">
        <f t="shared" si="0"/>
        <v>4.2133333333333436</v>
      </c>
      <c r="K6" s="19">
        <v>2.4624000000000001</v>
      </c>
    </row>
    <row r="7" spans="2:12" x14ac:dyDescent="0.35">
      <c r="B7" s="19">
        <v>-40</v>
      </c>
      <c r="C7" s="20">
        <v>1.4961</v>
      </c>
      <c r="D7" s="20">
        <v>2.4950000000000001</v>
      </c>
      <c r="E7" s="20">
        <f t="shared" si="1"/>
        <v>-0.99890000000000012</v>
      </c>
      <c r="F7" s="20">
        <f t="shared" si="2"/>
        <v>-1.9978000000000002</v>
      </c>
      <c r="G7" s="19">
        <v>-2</v>
      </c>
      <c r="H7" s="20">
        <v>-1.915</v>
      </c>
      <c r="I7" s="20">
        <f t="shared" si="3"/>
        <v>-8.4999999999999964E-2</v>
      </c>
      <c r="J7" s="19">
        <f t="shared" si="0"/>
        <v>4.2499999999999982</v>
      </c>
      <c r="K7" s="19">
        <v>2.4628000000000001</v>
      </c>
    </row>
    <row r="8" spans="2:12" x14ac:dyDescent="0.35">
      <c r="B8" s="19">
        <v>-35</v>
      </c>
      <c r="C8" s="20">
        <v>1.6212</v>
      </c>
      <c r="D8" s="20">
        <v>2.4948999999999999</v>
      </c>
      <c r="E8" s="20">
        <f t="shared" si="1"/>
        <v>-0.87369999999999992</v>
      </c>
      <c r="F8" s="20">
        <f t="shared" si="2"/>
        <v>-1.7473999999999998</v>
      </c>
      <c r="G8" s="19">
        <v>-1.75</v>
      </c>
      <c r="H8" s="20">
        <v>-1.6744000000000001</v>
      </c>
      <c r="I8" s="20">
        <f t="shared" si="3"/>
        <v>-7.559999999999989E-2</v>
      </c>
      <c r="J8" s="19">
        <f t="shared" si="0"/>
        <v>4.3199999999999941</v>
      </c>
      <c r="K8" s="19">
        <v>2.4628000000000001</v>
      </c>
    </row>
    <row r="9" spans="2:12" x14ac:dyDescent="0.35">
      <c r="B9" s="19">
        <v>-30</v>
      </c>
      <c r="C9" s="20">
        <v>1.746</v>
      </c>
      <c r="D9" s="20">
        <v>2.4948999999999999</v>
      </c>
      <c r="E9" s="20">
        <f t="shared" si="1"/>
        <v>-0.7488999999999999</v>
      </c>
      <c r="F9" s="20">
        <f>2*E9</f>
        <v>-1.4977999999999998</v>
      </c>
      <c r="G9" s="19">
        <v>-1.5</v>
      </c>
      <c r="H9" s="20">
        <v>-1.4372</v>
      </c>
      <c r="I9" s="20">
        <f t="shared" si="3"/>
        <v>-6.2799999999999967E-2</v>
      </c>
      <c r="J9" s="19">
        <f t="shared" si="0"/>
        <v>4.1866666666666639</v>
      </c>
      <c r="K9" s="19">
        <v>2.4634999999999998</v>
      </c>
    </row>
    <row r="10" spans="2:12" x14ac:dyDescent="0.35">
      <c r="B10" s="19">
        <v>35</v>
      </c>
      <c r="C10" s="19">
        <v>3.3639999999999999</v>
      </c>
      <c r="D10" s="20">
        <v>2.4946999999999999</v>
      </c>
      <c r="E10" s="20">
        <f t="shared" si="1"/>
        <v>0.86929999999999996</v>
      </c>
      <c r="F10" s="20">
        <f t="shared" ref="F10:F13" si="4">2*E10</f>
        <v>1.7385999999999999</v>
      </c>
      <c r="G10" s="19">
        <v>1.75</v>
      </c>
      <c r="H10" s="19">
        <v>1.673</v>
      </c>
      <c r="I10" s="20">
        <f t="shared" si="3"/>
        <v>7.6999999999999957E-2</v>
      </c>
      <c r="J10" s="19">
        <f t="shared" si="0"/>
        <v>4.3999999999999977</v>
      </c>
      <c r="K10" s="19">
        <v>2.4660000000000002</v>
      </c>
    </row>
    <row r="11" spans="2:12" x14ac:dyDescent="0.35">
      <c r="B11" s="19">
        <v>40</v>
      </c>
      <c r="C11" s="19">
        <v>3.4891999999999999</v>
      </c>
      <c r="D11" s="20">
        <v>2.4948999999999999</v>
      </c>
      <c r="E11" s="20">
        <f t="shared" si="1"/>
        <v>0.99429999999999996</v>
      </c>
      <c r="F11" s="20">
        <f t="shared" si="4"/>
        <v>1.9885999999999999</v>
      </c>
      <c r="G11" s="19">
        <v>2</v>
      </c>
      <c r="H11" s="19">
        <v>1.9135</v>
      </c>
      <c r="I11" s="20">
        <f t="shared" si="3"/>
        <v>8.6500000000000021E-2</v>
      </c>
      <c r="J11" s="19">
        <f t="shared" si="0"/>
        <v>4.3250000000000011</v>
      </c>
      <c r="K11" s="19">
        <v>2.4634999999999998</v>
      </c>
    </row>
    <row r="12" spans="2:12" x14ac:dyDescent="0.35">
      <c r="B12" s="19">
        <v>45</v>
      </c>
      <c r="C12" s="19">
        <v>3.6145</v>
      </c>
      <c r="D12" s="20">
        <v>2.4950000000000001</v>
      </c>
      <c r="E12" s="20">
        <f t="shared" si="1"/>
        <v>1.1194999999999999</v>
      </c>
      <c r="F12" s="20">
        <f t="shared" si="4"/>
        <v>2.2389999999999999</v>
      </c>
      <c r="G12" s="19">
        <v>2.25</v>
      </c>
      <c r="H12" s="19">
        <v>2.1539999999999999</v>
      </c>
      <c r="I12" s="20">
        <f t="shared" si="3"/>
        <v>9.6000000000000085E-2</v>
      </c>
      <c r="J12" s="19">
        <f t="shared" si="0"/>
        <v>4.266666666666671</v>
      </c>
      <c r="K12" s="19">
        <v>2.4630000000000001</v>
      </c>
    </row>
    <row r="13" spans="2:12" x14ac:dyDescent="0.35">
      <c r="B13" s="19">
        <v>50</v>
      </c>
      <c r="C13" s="19">
        <v>3.7397</v>
      </c>
      <c r="D13" s="20">
        <v>2.4952000000000001</v>
      </c>
      <c r="E13" s="20">
        <f t="shared" si="1"/>
        <v>1.2444999999999999</v>
      </c>
      <c r="F13" s="20">
        <f t="shared" si="4"/>
        <v>2.4889999999999999</v>
      </c>
      <c r="G13" s="19">
        <v>2.5</v>
      </c>
      <c r="H13" s="19">
        <v>2.395</v>
      </c>
      <c r="I13" s="20">
        <f t="shared" si="3"/>
        <v>0.10499999999999998</v>
      </c>
      <c r="J13" s="19">
        <f t="shared" si="0"/>
        <v>4.1999999999999993</v>
      </c>
      <c r="K13" s="19">
        <v>2.4634999999999998</v>
      </c>
    </row>
    <row r="14" spans="2:12" x14ac:dyDescent="0.35">
      <c r="K14" s="1"/>
    </row>
    <row r="15" spans="2:12" x14ac:dyDescent="0.35">
      <c r="K15" s="1"/>
    </row>
    <row r="16" spans="2:12" x14ac:dyDescent="0.35">
      <c r="K16" s="1"/>
    </row>
    <row r="17" spans="11:11" x14ac:dyDescent="0.35">
      <c r="K17" s="1"/>
    </row>
    <row r="18" spans="11:11" x14ac:dyDescent="0.35">
      <c r="K18" s="1"/>
    </row>
    <row r="19" spans="11:11" x14ac:dyDescent="0.35">
      <c r="K19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4CA9-EF39-4B22-821D-9A3A0F70419D}">
  <dimension ref="A3:H38"/>
  <sheetViews>
    <sheetView topLeftCell="A7" zoomScale="85" zoomScaleNormal="85" workbookViewId="0">
      <selection activeCell="I16" sqref="I16"/>
    </sheetView>
  </sheetViews>
  <sheetFormatPr defaultRowHeight="14.5" x14ac:dyDescent="0.35"/>
  <cols>
    <col min="1" max="1" width="13.36328125" bestFit="1" customWidth="1"/>
    <col min="3" max="3" width="8.7265625" customWidth="1"/>
    <col min="4" max="4" width="11.81640625" customWidth="1"/>
    <col min="5" max="5" width="13.453125" bestFit="1" customWidth="1"/>
    <col min="6" max="6" width="12" bestFit="1" customWidth="1"/>
    <col min="7" max="7" width="14.90625" bestFit="1" customWidth="1"/>
    <col min="8" max="8" width="13.6328125" bestFit="1" customWidth="1"/>
  </cols>
  <sheetData>
    <row r="3" spans="1:8" ht="26" x14ac:dyDescent="0.6">
      <c r="A3" s="16" t="s">
        <v>31</v>
      </c>
      <c r="C3" s="12" t="s">
        <v>26</v>
      </c>
      <c r="D3" s="1"/>
    </row>
    <row r="4" spans="1:8" x14ac:dyDescent="0.35">
      <c r="D4" s="1"/>
    </row>
    <row r="5" spans="1:8" x14ac:dyDescent="0.35">
      <c r="D5" s="1"/>
    </row>
    <row r="6" spans="1:8" x14ac:dyDescent="0.35">
      <c r="D6" s="1"/>
    </row>
    <row r="7" spans="1:8" x14ac:dyDescent="0.35">
      <c r="C7" s="17" t="s">
        <v>0</v>
      </c>
      <c r="D7" s="17" t="s">
        <v>2</v>
      </c>
      <c r="E7" s="18" t="s">
        <v>3</v>
      </c>
      <c r="F7" s="17" t="s">
        <v>24</v>
      </c>
      <c r="G7" s="17" t="s">
        <v>32</v>
      </c>
      <c r="H7" s="17" t="s">
        <v>28</v>
      </c>
    </row>
    <row r="8" spans="1:8" x14ac:dyDescent="0.35">
      <c r="B8" s="13"/>
      <c r="C8" s="19">
        <v>-50</v>
      </c>
      <c r="D8" s="19">
        <v>-2.5</v>
      </c>
      <c r="E8" s="20">
        <v>-2.5001000000000002</v>
      </c>
      <c r="F8" s="20">
        <f>D8-E8</f>
        <v>1.0000000000021103E-4</v>
      </c>
      <c r="G8" s="19">
        <f t="shared" ref="G8:G34" si="0">(F8/D8)*100</f>
        <v>-4.0000000000084412E-3</v>
      </c>
      <c r="H8" s="19">
        <v>2.4620000000000002</v>
      </c>
    </row>
    <row r="9" spans="1:8" x14ac:dyDescent="0.35">
      <c r="B9" s="13"/>
      <c r="C9" s="19">
        <v>-45</v>
      </c>
      <c r="D9" s="19">
        <v>-2.25</v>
      </c>
      <c r="E9" s="20">
        <v>-2.2492999999999999</v>
      </c>
      <c r="F9" s="20">
        <f t="shared" ref="F9:F34" si="1">D9-E9</f>
        <v>-7.0000000000014495E-4</v>
      </c>
      <c r="G9" s="19">
        <f t="shared" si="0"/>
        <v>3.1111111111117553E-2</v>
      </c>
      <c r="H9" s="19"/>
    </row>
    <row r="10" spans="1:8" x14ac:dyDescent="0.35">
      <c r="B10" s="13"/>
      <c r="C10" s="19">
        <v>-40</v>
      </c>
      <c r="D10" s="19">
        <v>-2</v>
      </c>
      <c r="E10" s="20">
        <v>-1.9987999999999999</v>
      </c>
      <c r="F10" s="20">
        <f t="shared" si="1"/>
        <v>-1.2000000000000899E-3</v>
      </c>
      <c r="G10" s="19">
        <f t="shared" si="0"/>
        <v>6.0000000000004494E-2</v>
      </c>
      <c r="H10" s="19">
        <v>2.4624000000000001</v>
      </c>
    </row>
    <row r="11" spans="1:8" x14ac:dyDescent="0.35">
      <c r="B11" s="13"/>
      <c r="C11" s="19">
        <v>-35</v>
      </c>
      <c r="D11" s="19">
        <v>-1.75</v>
      </c>
      <c r="E11" s="20">
        <v>-1.7477</v>
      </c>
      <c r="F11" s="20">
        <f t="shared" si="1"/>
        <v>-2.2999999999999687E-3</v>
      </c>
      <c r="G11" s="19">
        <f t="shared" si="0"/>
        <v>0.13142857142856965</v>
      </c>
      <c r="H11" s="19">
        <v>2.4628000000000001</v>
      </c>
    </row>
    <row r="12" spans="1:8" x14ac:dyDescent="0.35">
      <c r="C12" s="19">
        <v>-30</v>
      </c>
      <c r="D12" s="19">
        <v>-1.5</v>
      </c>
      <c r="E12" s="20">
        <v>-1.4964</v>
      </c>
      <c r="F12" s="20">
        <f t="shared" si="1"/>
        <v>-3.6000000000000476E-3</v>
      </c>
      <c r="G12" s="19">
        <f t="shared" si="0"/>
        <v>0.24000000000000318</v>
      </c>
      <c r="H12" s="19"/>
    </row>
    <row r="13" spans="1:8" x14ac:dyDescent="0.35">
      <c r="C13" s="19">
        <v>-25</v>
      </c>
      <c r="D13" s="19">
        <v>-1.25</v>
      </c>
      <c r="E13" s="20">
        <v>-1.2450000000000001</v>
      </c>
      <c r="F13" s="20">
        <f t="shared" si="1"/>
        <v>-4.9999999999998934E-3</v>
      </c>
      <c r="G13" s="19">
        <f t="shared" si="0"/>
        <v>0.39999999999999153</v>
      </c>
      <c r="H13" s="19">
        <v>2.4628000000000001</v>
      </c>
    </row>
    <row r="14" spans="1:8" x14ac:dyDescent="0.35">
      <c r="C14" s="19">
        <v>-20</v>
      </c>
      <c r="D14" s="19">
        <v>-1</v>
      </c>
      <c r="E14" s="20">
        <v>-0.99509999999999998</v>
      </c>
      <c r="F14" s="20">
        <f t="shared" si="1"/>
        <v>-4.9000000000000155E-3</v>
      </c>
      <c r="G14" s="19">
        <f t="shared" si="0"/>
        <v>0.49000000000000155</v>
      </c>
      <c r="H14" s="19"/>
    </row>
    <row r="15" spans="1:8" x14ac:dyDescent="0.35">
      <c r="C15" s="19">
        <v>-15</v>
      </c>
      <c r="D15" s="19">
        <v>-0.75</v>
      </c>
      <c r="E15" s="20">
        <v>-0.74650000000000005</v>
      </c>
      <c r="F15" s="20">
        <f t="shared" si="1"/>
        <v>-3.4999999999999476E-3</v>
      </c>
      <c r="G15" s="19">
        <f t="shared" si="0"/>
        <v>0.46666666666665968</v>
      </c>
      <c r="H15" s="19">
        <v>2.4634999999999998</v>
      </c>
    </row>
    <row r="16" spans="1:8" x14ac:dyDescent="0.35">
      <c r="C16" s="19">
        <v>-10</v>
      </c>
      <c r="D16" s="19">
        <v>-0.5</v>
      </c>
      <c r="E16" s="20">
        <v>-0.49349999999999999</v>
      </c>
      <c r="F16" s="20">
        <f t="shared" si="1"/>
        <v>-6.5000000000000058E-3</v>
      </c>
      <c r="G16" s="19">
        <f t="shared" si="0"/>
        <v>1.3000000000000012</v>
      </c>
      <c r="H16" s="19"/>
    </row>
    <row r="17" spans="3:8" x14ac:dyDescent="0.35">
      <c r="C17" s="19">
        <v>-8</v>
      </c>
      <c r="D17" s="19">
        <v>-0.4</v>
      </c>
      <c r="E17" s="20">
        <v>-0.3952</v>
      </c>
      <c r="F17" s="20">
        <f t="shared" si="1"/>
        <v>-4.8000000000000265E-3</v>
      </c>
      <c r="G17" s="19">
        <f t="shared" si="0"/>
        <v>1.2000000000000066</v>
      </c>
      <c r="H17" s="19"/>
    </row>
    <row r="18" spans="3:8" x14ac:dyDescent="0.35">
      <c r="C18" s="19">
        <v>-6</v>
      </c>
      <c r="D18" s="19">
        <v>-0.3</v>
      </c>
      <c r="E18" s="20">
        <v>-0.29299999999999998</v>
      </c>
      <c r="F18" s="20">
        <f t="shared" si="1"/>
        <v>-7.0000000000000062E-3</v>
      </c>
      <c r="G18" s="19">
        <f t="shared" si="0"/>
        <v>2.3333333333333357</v>
      </c>
      <c r="H18" s="19"/>
    </row>
    <row r="19" spans="3:8" x14ac:dyDescent="0.35">
      <c r="C19" s="19">
        <v>-4</v>
      </c>
      <c r="D19" s="19">
        <v>-0.2</v>
      </c>
      <c r="E19" s="20">
        <v>-0.19500000000000001</v>
      </c>
      <c r="F19" s="20">
        <f t="shared" si="1"/>
        <v>-5.0000000000000044E-3</v>
      </c>
      <c r="G19" s="19">
        <f t="shared" si="0"/>
        <v>2.5000000000000022</v>
      </c>
      <c r="H19" s="19"/>
    </row>
    <row r="20" spans="3:8" x14ac:dyDescent="0.35">
      <c r="C20" s="19">
        <v>-2</v>
      </c>
      <c r="D20" s="19">
        <v>-0.1</v>
      </c>
      <c r="E20" s="20">
        <v>-9.5799999999999996E-2</v>
      </c>
      <c r="F20" s="20">
        <f t="shared" si="1"/>
        <v>-4.2000000000000093E-3</v>
      </c>
      <c r="G20" s="19">
        <f t="shared" si="0"/>
        <v>4.2000000000000091</v>
      </c>
      <c r="H20" s="19"/>
    </row>
    <row r="21" spans="3:8" x14ac:dyDescent="0.35">
      <c r="C21" s="19">
        <v>0</v>
      </c>
      <c r="D21" s="19">
        <v>0</v>
      </c>
      <c r="E21" s="20">
        <v>1E-4</v>
      </c>
      <c r="F21" s="20">
        <f t="shared" si="1"/>
        <v>-1E-4</v>
      </c>
      <c r="G21" s="19" t="e">
        <f t="shared" si="0"/>
        <v>#DIV/0!</v>
      </c>
      <c r="H21" s="19">
        <v>2.4660000000000002</v>
      </c>
    </row>
    <row r="22" spans="3:8" x14ac:dyDescent="0.35">
      <c r="C22" s="19">
        <v>2</v>
      </c>
      <c r="D22" s="19">
        <v>0.1</v>
      </c>
      <c r="E22" s="20">
        <v>9.5200000000000007E-2</v>
      </c>
      <c r="F22" s="20">
        <f t="shared" si="1"/>
        <v>4.7999999999999987E-3</v>
      </c>
      <c r="G22" s="19">
        <f t="shared" si="0"/>
        <v>4.7999999999999989</v>
      </c>
      <c r="H22" s="19"/>
    </row>
    <row r="23" spans="3:8" x14ac:dyDescent="0.35">
      <c r="C23" s="19">
        <v>4</v>
      </c>
      <c r="D23" s="19">
        <v>0.2</v>
      </c>
      <c r="E23" s="20">
        <v>0.192</v>
      </c>
      <c r="F23" s="20">
        <f t="shared" si="1"/>
        <v>8.0000000000000071E-3</v>
      </c>
      <c r="G23" s="19">
        <f t="shared" si="0"/>
        <v>4.0000000000000036</v>
      </c>
      <c r="H23" s="19"/>
    </row>
    <row r="24" spans="3:8" x14ac:dyDescent="0.35">
      <c r="C24" s="19">
        <v>6</v>
      </c>
      <c r="D24" s="19">
        <v>0.3</v>
      </c>
      <c r="E24" s="20">
        <v>0.28999999999999998</v>
      </c>
      <c r="F24" s="20">
        <f t="shared" si="1"/>
        <v>1.0000000000000009E-2</v>
      </c>
      <c r="G24" s="19">
        <f t="shared" si="0"/>
        <v>3.3333333333333366</v>
      </c>
      <c r="H24" s="19"/>
    </row>
    <row r="25" spans="3:8" x14ac:dyDescent="0.35">
      <c r="C25" s="19">
        <v>8</v>
      </c>
      <c r="D25" s="19">
        <v>0.4</v>
      </c>
      <c r="E25" s="20">
        <v>0.39200000000000002</v>
      </c>
      <c r="F25" s="20">
        <f t="shared" si="1"/>
        <v>8.0000000000000071E-3</v>
      </c>
      <c r="G25" s="19">
        <f t="shared" si="0"/>
        <v>2.0000000000000018</v>
      </c>
      <c r="H25" s="19"/>
    </row>
    <row r="26" spans="3:8" x14ac:dyDescent="0.35">
      <c r="C26" s="19">
        <v>10</v>
      </c>
      <c r="D26" s="19">
        <v>0.5</v>
      </c>
      <c r="E26" s="20">
        <v>0.4929</v>
      </c>
      <c r="F26" s="20">
        <f t="shared" si="1"/>
        <v>7.0999999999999952E-3</v>
      </c>
      <c r="G26" s="19">
        <f t="shared" si="0"/>
        <v>1.419999999999999</v>
      </c>
      <c r="H26" s="19"/>
    </row>
    <row r="27" spans="3:8" x14ac:dyDescent="0.35">
      <c r="C27" s="19">
        <v>15</v>
      </c>
      <c r="D27" s="19">
        <v>0.75</v>
      </c>
      <c r="E27" s="19">
        <v>0.74560000000000004</v>
      </c>
      <c r="F27" s="20">
        <f t="shared" si="1"/>
        <v>4.3999999999999595E-3</v>
      </c>
      <c r="G27" s="19">
        <f t="shared" si="0"/>
        <v>0.58666666666666134</v>
      </c>
      <c r="H27" s="21"/>
    </row>
    <row r="28" spans="3:8" x14ac:dyDescent="0.35">
      <c r="C28" s="19">
        <v>20</v>
      </c>
      <c r="D28" s="19">
        <v>1</v>
      </c>
      <c r="E28" s="19">
        <v>0.99399999999999999</v>
      </c>
      <c r="F28" s="20">
        <f t="shared" si="1"/>
        <v>6.0000000000000053E-3</v>
      </c>
      <c r="G28" s="19">
        <f t="shared" si="0"/>
        <v>0.60000000000000053</v>
      </c>
      <c r="H28" s="19">
        <v>2.4634999999999998</v>
      </c>
    </row>
    <row r="29" spans="3:8" x14ac:dyDescent="0.35">
      <c r="C29" s="19">
        <v>25</v>
      </c>
      <c r="D29" s="19">
        <v>1.25</v>
      </c>
      <c r="E29" s="19">
        <v>1.244</v>
      </c>
      <c r="F29" s="20">
        <f t="shared" si="1"/>
        <v>6.0000000000000053E-3</v>
      </c>
      <c r="G29" s="19">
        <f t="shared" si="0"/>
        <v>0.48000000000000037</v>
      </c>
      <c r="H29" s="19"/>
    </row>
    <row r="30" spans="3:8" x14ac:dyDescent="0.35">
      <c r="C30" s="19">
        <v>30</v>
      </c>
      <c r="D30" s="19">
        <v>1.5</v>
      </c>
      <c r="E30" s="19">
        <v>1.4955000000000001</v>
      </c>
      <c r="F30" s="20">
        <f t="shared" si="1"/>
        <v>4.4999999999999485E-3</v>
      </c>
      <c r="G30" s="19">
        <f t="shared" si="0"/>
        <v>0.2999999999999966</v>
      </c>
      <c r="H30" s="19">
        <v>2.4630000000000001</v>
      </c>
    </row>
    <row r="31" spans="3:8" x14ac:dyDescent="0.35">
      <c r="C31" s="19">
        <v>35</v>
      </c>
      <c r="D31" s="19">
        <v>1.75</v>
      </c>
      <c r="E31" s="19">
        <v>1.7455000000000001</v>
      </c>
      <c r="F31" s="20">
        <f t="shared" si="1"/>
        <v>4.4999999999999485E-3</v>
      </c>
      <c r="G31" s="19">
        <f t="shared" si="0"/>
        <v>0.25714285714285418</v>
      </c>
      <c r="H31" s="19"/>
    </row>
    <row r="32" spans="3:8" x14ac:dyDescent="0.35">
      <c r="C32" s="19">
        <v>40</v>
      </c>
      <c r="D32" s="19">
        <v>2</v>
      </c>
      <c r="E32" s="19">
        <v>1.9963</v>
      </c>
      <c r="F32" s="20">
        <f t="shared" si="1"/>
        <v>3.7000000000000366E-3</v>
      </c>
      <c r="G32" s="19">
        <f t="shared" si="0"/>
        <v>0.18500000000000183</v>
      </c>
      <c r="H32" s="19">
        <v>2.4624999999999999</v>
      </c>
    </row>
    <row r="33" spans="3:8" x14ac:dyDescent="0.35">
      <c r="C33" s="19">
        <v>45</v>
      </c>
      <c r="D33" s="19">
        <v>2.25</v>
      </c>
      <c r="E33" s="19">
        <v>2.2464</v>
      </c>
      <c r="F33" s="20">
        <f t="shared" si="1"/>
        <v>3.6000000000000476E-3</v>
      </c>
      <c r="G33" s="19">
        <f t="shared" si="0"/>
        <v>0.16000000000000211</v>
      </c>
      <c r="H33" s="19"/>
    </row>
    <row r="34" spans="3:8" x14ac:dyDescent="0.35">
      <c r="C34" s="19">
        <v>50</v>
      </c>
      <c r="D34" s="19">
        <v>2.5</v>
      </c>
      <c r="E34" s="19">
        <v>2.4967000000000001</v>
      </c>
      <c r="F34" s="20">
        <f t="shared" si="1"/>
        <v>3.2999999999998586E-3</v>
      </c>
      <c r="G34" s="19">
        <f t="shared" si="0"/>
        <v>0.13199999999999434</v>
      </c>
      <c r="H34" s="19">
        <v>2.4620000000000002</v>
      </c>
    </row>
    <row r="35" spans="3:8" x14ac:dyDescent="0.35">
      <c r="D35" s="1"/>
    </row>
    <row r="36" spans="3:8" x14ac:dyDescent="0.35">
      <c r="D36" s="1"/>
    </row>
    <row r="37" spans="3:8" x14ac:dyDescent="0.35">
      <c r="D37" s="1"/>
    </row>
    <row r="38" spans="3:8" x14ac:dyDescent="0.35">
      <c r="D3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phase1_with_R5_R2</vt:lpstr>
      <vt:lpstr>phase1_with_0Ohm</vt:lpstr>
      <vt:lpstr>phase2_with_R5_R2</vt:lpstr>
      <vt:lpstr>phase2_with_0Ohm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 Kaan (PSS AIS AMK SAS)</dc:creator>
  <cp:lastModifiedBy>Ilhan Kaan (PSS AIS AMK SAS)</cp:lastModifiedBy>
  <dcterms:created xsi:type="dcterms:W3CDTF">2015-06-05T18:17:20Z</dcterms:created>
  <dcterms:modified xsi:type="dcterms:W3CDTF">2025-01-20T15:06:05Z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2024-12-12T11:00:51Z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76c0e471-fa7e-4d8e-96d4-3f4a384e6c4c</vt:lpwstr>
  </property>
  <property fmtid="{D5CDD505-2E9C-101B-9397-08002B2CF9AE}" pid="8" name="MSIP_Label_a15a25aa-e944-415d-b7a7-40f6b9180b6b_ContentBits">
    <vt:lpwstr>0</vt:lpwstr>
  </property>
</Properties>
</file>